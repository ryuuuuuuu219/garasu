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なにか\outputs\glass_growth_curve\"/>
    </mc:Choice>
  </mc:AlternateContent>
  <xr:revisionPtr revIDLastSave="0" documentId="8_{C4ADE9E4-A6D6-47BD-8C53-EB7C8692F2EA}" xr6:coauthVersionLast="47" xr6:coauthVersionMax="47" xr10:uidLastSave="{00000000-0000-0000-0000-000000000000}"/>
  <bookViews>
    <workbookView xWindow="9405" yWindow="7980" windowWidth="9255" windowHeight="6000" xr2:uid="{00000000-000D-0000-FFFF-FFFF00000000}"/>
  </bookViews>
  <sheets>
    <sheet name="ダッシュボード" sheetId="1" r:id="rId1"/>
    <sheet name="パラメータ" sheetId="6" r:id="rId2"/>
    <sheet name="ステージ曲線" sheetId="7" r:id="rId3"/>
    <sheet name="強化一覧" sheetId="8" r:id="rId4"/>
    <sheet name="説明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51" i="1" l="1"/>
  <c r="S51" i="1"/>
  <c r="R51" i="1"/>
  <c r="Q51" i="1"/>
  <c r="P51" i="1"/>
  <c r="O51" i="1"/>
  <c r="T50" i="1"/>
  <c r="S50" i="1"/>
  <c r="R50" i="1"/>
  <c r="Q50" i="1"/>
  <c r="P50" i="1"/>
  <c r="O50" i="1"/>
  <c r="T49" i="1"/>
  <c r="S49" i="1"/>
  <c r="R49" i="1"/>
  <c r="Q49" i="1"/>
  <c r="P49" i="1"/>
  <c r="O49" i="1"/>
  <c r="T48" i="1"/>
  <c r="S48" i="1"/>
  <c r="R48" i="1"/>
  <c r="Q48" i="1"/>
  <c r="P48" i="1"/>
  <c r="O48" i="1"/>
  <c r="T47" i="1"/>
  <c r="S47" i="1"/>
  <c r="R47" i="1"/>
  <c r="Q47" i="1"/>
  <c r="P47" i="1"/>
  <c r="O47" i="1"/>
  <c r="T46" i="1"/>
  <c r="S46" i="1"/>
  <c r="R46" i="1"/>
  <c r="Q46" i="1"/>
  <c r="P46" i="1"/>
  <c r="O46" i="1"/>
  <c r="T45" i="1"/>
  <c r="S45" i="1"/>
  <c r="R45" i="1"/>
  <c r="Q45" i="1"/>
  <c r="P45" i="1"/>
  <c r="O45" i="1"/>
  <c r="T44" i="1"/>
  <c r="S44" i="1"/>
  <c r="R44" i="1"/>
  <c r="Q44" i="1"/>
  <c r="P44" i="1"/>
  <c r="O44" i="1"/>
  <c r="T43" i="1"/>
  <c r="S43" i="1"/>
  <c r="R43" i="1"/>
  <c r="Q43" i="1"/>
  <c r="P43" i="1"/>
  <c r="O43" i="1"/>
  <c r="T42" i="1"/>
  <c r="S42" i="1"/>
  <c r="R42" i="1"/>
  <c r="Q42" i="1"/>
  <c r="P42" i="1"/>
  <c r="O42" i="1"/>
  <c r="T41" i="1"/>
  <c r="S41" i="1"/>
  <c r="R41" i="1"/>
  <c r="Q41" i="1"/>
  <c r="P41" i="1"/>
  <c r="O41" i="1"/>
  <c r="T40" i="1"/>
  <c r="S40" i="1"/>
  <c r="R40" i="1"/>
  <c r="Q40" i="1"/>
  <c r="P40" i="1"/>
  <c r="O40" i="1"/>
  <c r="T39" i="1"/>
  <c r="S39" i="1"/>
  <c r="R39" i="1"/>
  <c r="Q39" i="1"/>
  <c r="P39" i="1"/>
  <c r="O39" i="1"/>
  <c r="T38" i="1"/>
  <c r="S38" i="1"/>
  <c r="R38" i="1"/>
  <c r="Q38" i="1"/>
  <c r="P38" i="1"/>
  <c r="O38" i="1"/>
  <c r="T37" i="1"/>
  <c r="S37" i="1"/>
  <c r="R37" i="1"/>
  <c r="Q37" i="1"/>
  <c r="P37" i="1"/>
  <c r="O37" i="1"/>
  <c r="T36" i="1"/>
  <c r="S36" i="1"/>
  <c r="R36" i="1"/>
  <c r="Q36" i="1"/>
  <c r="P36" i="1"/>
  <c r="O36" i="1"/>
  <c r="T35" i="1"/>
  <c r="S35" i="1"/>
  <c r="R35" i="1"/>
  <c r="Q35" i="1"/>
  <c r="P35" i="1"/>
  <c r="O35" i="1"/>
  <c r="T34" i="1"/>
  <c r="S34" i="1"/>
  <c r="R34" i="1"/>
  <c r="Q34" i="1"/>
  <c r="P34" i="1"/>
  <c r="O34" i="1"/>
  <c r="T33" i="1"/>
  <c r="S33" i="1"/>
  <c r="R33" i="1"/>
  <c r="Q33" i="1"/>
  <c r="P33" i="1"/>
  <c r="O33" i="1"/>
  <c r="T32" i="1"/>
  <c r="S32" i="1"/>
  <c r="R32" i="1"/>
  <c r="Q32" i="1"/>
  <c r="P32" i="1"/>
  <c r="O32" i="1"/>
  <c r="T31" i="1"/>
  <c r="S31" i="1"/>
  <c r="R31" i="1"/>
  <c r="Q31" i="1"/>
  <c r="P31" i="1"/>
  <c r="O31" i="1"/>
  <c r="T30" i="1"/>
  <c r="S30" i="1"/>
  <c r="R30" i="1"/>
  <c r="Q30" i="1"/>
  <c r="P30" i="1"/>
  <c r="O30" i="1"/>
  <c r="T29" i="1"/>
  <c r="S29" i="1"/>
  <c r="R29" i="1"/>
  <c r="Q29" i="1"/>
  <c r="P29" i="1"/>
  <c r="O29" i="1"/>
  <c r="T28" i="1"/>
  <c r="S28" i="1"/>
  <c r="R28" i="1"/>
  <c r="Q28" i="1"/>
  <c r="P28" i="1"/>
  <c r="O28" i="1"/>
  <c r="T27" i="1"/>
  <c r="S27" i="1"/>
  <c r="R27" i="1"/>
  <c r="Q27" i="1"/>
  <c r="P27" i="1"/>
  <c r="O27" i="1"/>
  <c r="T26" i="1"/>
  <c r="S26" i="1"/>
  <c r="R26" i="1"/>
  <c r="Q26" i="1"/>
  <c r="P26" i="1"/>
  <c r="O26" i="1"/>
  <c r="T25" i="1"/>
  <c r="S25" i="1"/>
  <c r="R25" i="1"/>
  <c r="Q25" i="1"/>
  <c r="P25" i="1"/>
  <c r="O25" i="1"/>
  <c r="T24" i="1"/>
  <c r="S24" i="1"/>
  <c r="R24" i="1"/>
  <c r="Q24" i="1"/>
  <c r="P24" i="1"/>
  <c r="O24" i="1"/>
  <c r="T23" i="1"/>
  <c r="S23" i="1"/>
  <c r="R23" i="1"/>
  <c r="Q23" i="1"/>
  <c r="P23" i="1"/>
  <c r="O23" i="1"/>
  <c r="T22" i="1"/>
  <c r="S22" i="1"/>
  <c r="R22" i="1"/>
  <c r="Q22" i="1"/>
  <c r="P22" i="1"/>
  <c r="O22" i="1"/>
  <c r="T21" i="1"/>
  <c r="S21" i="1"/>
  <c r="R21" i="1"/>
  <c r="Q21" i="1"/>
  <c r="P21" i="1"/>
  <c r="O21" i="1"/>
  <c r="T20" i="1"/>
  <c r="S20" i="1"/>
  <c r="R20" i="1"/>
  <c r="Q20" i="1"/>
  <c r="P20" i="1"/>
  <c r="O20" i="1"/>
  <c r="T19" i="1"/>
  <c r="S19" i="1"/>
  <c r="R19" i="1"/>
  <c r="Q19" i="1"/>
  <c r="P19" i="1"/>
  <c r="O19" i="1"/>
  <c r="T18" i="1"/>
  <c r="S18" i="1"/>
  <c r="R18" i="1"/>
  <c r="Q18" i="1"/>
  <c r="P18" i="1"/>
  <c r="O18" i="1"/>
  <c r="T17" i="1"/>
  <c r="S17" i="1"/>
  <c r="R17" i="1"/>
  <c r="Q17" i="1"/>
  <c r="P17" i="1"/>
  <c r="O17" i="1"/>
  <c r="T16" i="1"/>
  <c r="S16" i="1"/>
  <c r="R16" i="1"/>
  <c r="Q16" i="1"/>
  <c r="P16" i="1"/>
  <c r="O16" i="1"/>
  <c r="T15" i="1"/>
  <c r="S15" i="1"/>
  <c r="R15" i="1"/>
  <c r="Q15" i="1"/>
  <c r="P15" i="1"/>
  <c r="O15" i="1"/>
  <c r="T14" i="1"/>
  <c r="S14" i="1"/>
  <c r="R14" i="1"/>
  <c r="Q14" i="1"/>
  <c r="P14" i="1"/>
  <c r="O14" i="1"/>
  <c r="T13" i="1"/>
  <c r="S13" i="1"/>
  <c r="R13" i="1"/>
  <c r="Q13" i="1"/>
  <c r="P13" i="1"/>
  <c r="O13" i="1"/>
  <c r="T12" i="1"/>
  <c r="S12" i="1"/>
  <c r="R12" i="1"/>
  <c r="Q12" i="1"/>
  <c r="P12" i="1"/>
  <c r="O12" i="1"/>
  <c r="T11" i="1"/>
  <c r="S11" i="1"/>
  <c r="R11" i="1"/>
  <c r="Q11" i="1"/>
  <c r="P11" i="1"/>
  <c r="O11" i="1"/>
  <c r="T10" i="1"/>
  <c r="S10" i="1"/>
  <c r="R10" i="1"/>
  <c r="Q10" i="1"/>
  <c r="P10" i="1"/>
  <c r="O10" i="1"/>
  <c r="T9" i="1"/>
  <c r="S9" i="1"/>
  <c r="R9" i="1"/>
  <c r="Q9" i="1"/>
  <c r="P9" i="1"/>
  <c r="O9" i="1"/>
  <c r="T8" i="1"/>
  <c r="S8" i="1"/>
  <c r="R8" i="1"/>
  <c r="Q8" i="1"/>
  <c r="P8" i="1"/>
  <c r="O8" i="1"/>
  <c r="T7" i="1"/>
  <c r="S7" i="1"/>
  <c r="R7" i="1"/>
  <c r="Q7" i="1"/>
  <c r="P7" i="1"/>
  <c r="O7" i="1"/>
  <c r="T6" i="1"/>
  <c r="S6" i="1"/>
  <c r="R6" i="1"/>
  <c r="Q6" i="1"/>
  <c r="P6" i="1"/>
  <c r="O6" i="1"/>
  <c r="T5" i="1"/>
  <c r="S5" i="1"/>
  <c r="R5" i="1"/>
  <c r="Q5" i="1"/>
  <c r="P5" i="1"/>
  <c r="O5" i="1"/>
  <c r="T4" i="1"/>
  <c r="S4" i="1"/>
  <c r="R4" i="1"/>
  <c r="Q4" i="1"/>
  <c r="P4" i="1"/>
  <c r="O4" i="1"/>
  <c r="T3" i="1"/>
  <c r="S3" i="1"/>
  <c r="R3" i="1"/>
  <c r="Q3" i="1"/>
  <c r="P3" i="1"/>
  <c r="O3" i="1"/>
  <c r="T2" i="1"/>
  <c r="S2" i="1"/>
  <c r="R2" i="1"/>
  <c r="Q2" i="1"/>
  <c r="P2" i="1"/>
  <c r="O2" i="1"/>
  <c r="T53" i="7"/>
  <c r="L53" i="7"/>
  <c r="M53" i="7" s="1"/>
  <c r="K53" i="7"/>
  <c r="H53" i="7"/>
  <c r="G53" i="7"/>
  <c r="E53" i="7"/>
  <c r="D53" i="7"/>
  <c r="C53" i="7"/>
  <c r="F53" i="7" s="1"/>
  <c r="B53" i="7"/>
  <c r="J53" i="7" s="1"/>
  <c r="T52" i="7"/>
  <c r="K52" i="7"/>
  <c r="L52" i="7" s="1"/>
  <c r="H52" i="7"/>
  <c r="G52" i="7"/>
  <c r="E52" i="7"/>
  <c r="D52" i="7"/>
  <c r="C52" i="7"/>
  <c r="F52" i="7" s="1"/>
  <c r="B52" i="7"/>
  <c r="M52" i="7" s="1"/>
  <c r="V51" i="7"/>
  <c r="T51" i="7"/>
  <c r="M51" i="7"/>
  <c r="K51" i="7"/>
  <c r="L51" i="7" s="1"/>
  <c r="J51" i="7"/>
  <c r="W51" i="7" s="1"/>
  <c r="H51" i="7"/>
  <c r="I51" i="7" s="1"/>
  <c r="N51" i="7" s="1"/>
  <c r="G51" i="7"/>
  <c r="F51" i="7"/>
  <c r="S51" i="7" s="1"/>
  <c r="E51" i="7"/>
  <c r="D51" i="7"/>
  <c r="C51" i="7"/>
  <c r="B51" i="7"/>
  <c r="T50" i="7"/>
  <c r="K50" i="7"/>
  <c r="H50" i="7"/>
  <c r="G50" i="7"/>
  <c r="E50" i="7"/>
  <c r="D50" i="7"/>
  <c r="C50" i="7"/>
  <c r="F50" i="7" s="1"/>
  <c r="B50" i="7"/>
  <c r="M50" i="7" s="1"/>
  <c r="V49" i="7"/>
  <c r="T49" i="7"/>
  <c r="M49" i="7"/>
  <c r="K49" i="7"/>
  <c r="L49" i="7" s="1"/>
  <c r="J49" i="7"/>
  <c r="H49" i="7"/>
  <c r="G49" i="7"/>
  <c r="E49" i="7"/>
  <c r="D49" i="7"/>
  <c r="F49" i="7" s="1"/>
  <c r="C49" i="7"/>
  <c r="B49" i="7"/>
  <c r="V48" i="7"/>
  <c r="T48" i="7"/>
  <c r="K48" i="7"/>
  <c r="L48" i="7" s="1"/>
  <c r="M48" i="7" s="1"/>
  <c r="J48" i="7"/>
  <c r="W48" i="7" s="1"/>
  <c r="H48" i="7"/>
  <c r="G48" i="7"/>
  <c r="E48" i="7"/>
  <c r="D48" i="7"/>
  <c r="C48" i="7"/>
  <c r="F48" i="7" s="1"/>
  <c r="B48" i="7"/>
  <c r="V47" i="7"/>
  <c r="T47" i="7"/>
  <c r="K47" i="7"/>
  <c r="H47" i="7"/>
  <c r="G47" i="7"/>
  <c r="F47" i="7"/>
  <c r="E47" i="7"/>
  <c r="D47" i="7"/>
  <c r="C47" i="7"/>
  <c r="B47" i="7"/>
  <c r="M47" i="7" s="1"/>
  <c r="W46" i="7"/>
  <c r="V46" i="7"/>
  <c r="T46" i="7"/>
  <c r="L46" i="7"/>
  <c r="K46" i="7"/>
  <c r="J46" i="7"/>
  <c r="P46" i="7" s="1"/>
  <c r="R46" i="7" s="1"/>
  <c r="H46" i="7"/>
  <c r="G46" i="7"/>
  <c r="F46" i="7"/>
  <c r="S46" i="7" s="1"/>
  <c r="E46" i="7"/>
  <c r="D46" i="7"/>
  <c r="C46" i="7"/>
  <c r="B46" i="7"/>
  <c r="M46" i="7" s="1"/>
  <c r="T45" i="7"/>
  <c r="M45" i="7"/>
  <c r="L45" i="7"/>
  <c r="K45" i="7"/>
  <c r="H45" i="7"/>
  <c r="G45" i="7"/>
  <c r="E45" i="7"/>
  <c r="D45" i="7"/>
  <c r="F45" i="7" s="1"/>
  <c r="C45" i="7"/>
  <c r="B45" i="7"/>
  <c r="J45" i="7" s="1"/>
  <c r="T44" i="7"/>
  <c r="K44" i="7"/>
  <c r="L44" i="7" s="1"/>
  <c r="H44" i="7"/>
  <c r="G44" i="7"/>
  <c r="E44" i="7"/>
  <c r="D44" i="7"/>
  <c r="C44" i="7"/>
  <c r="F44" i="7" s="1"/>
  <c r="B44" i="7"/>
  <c r="M44" i="7" s="1"/>
  <c r="V43" i="7"/>
  <c r="T43" i="7"/>
  <c r="K43" i="7"/>
  <c r="L43" i="7" s="1"/>
  <c r="M43" i="7" s="1"/>
  <c r="J43" i="7"/>
  <c r="W43" i="7" s="1"/>
  <c r="H43" i="7"/>
  <c r="I43" i="7" s="1"/>
  <c r="N43" i="7" s="1"/>
  <c r="G43" i="7"/>
  <c r="F43" i="7"/>
  <c r="S43" i="7" s="1"/>
  <c r="E43" i="7"/>
  <c r="D43" i="7"/>
  <c r="C43" i="7"/>
  <c r="B43" i="7"/>
  <c r="T42" i="7"/>
  <c r="L42" i="7"/>
  <c r="K42" i="7"/>
  <c r="H42" i="7"/>
  <c r="G42" i="7"/>
  <c r="E42" i="7"/>
  <c r="D42" i="7"/>
  <c r="C42" i="7"/>
  <c r="F42" i="7" s="1"/>
  <c r="B42" i="7"/>
  <c r="M42" i="7" s="1"/>
  <c r="V41" i="7"/>
  <c r="T41" i="7"/>
  <c r="M41" i="7"/>
  <c r="K41" i="7"/>
  <c r="J41" i="7"/>
  <c r="H41" i="7"/>
  <c r="G41" i="7"/>
  <c r="E41" i="7"/>
  <c r="D41" i="7"/>
  <c r="F41" i="7" s="1"/>
  <c r="C41" i="7"/>
  <c r="B41" i="7"/>
  <c r="L41" i="7" s="1"/>
  <c r="V40" i="7"/>
  <c r="T40" i="7"/>
  <c r="M40" i="7"/>
  <c r="K40" i="7"/>
  <c r="L40" i="7" s="1"/>
  <c r="J40" i="7"/>
  <c r="W40" i="7" s="1"/>
  <c r="H40" i="7"/>
  <c r="G40" i="7"/>
  <c r="E40" i="7"/>
  <c r="D40" i="7"/>
  <c r="C40" i="7"/>
  <c r="F40" i="7" s="1"/>
  <c r="B40" i="7"/>
  <c r="V39" i="7"/>
  <c r="T39" i="7"/>
  <c r="K39" i="7"/>
  <c r="H39" i="7"/>
  <c r="G39" i="7"/>
  <c r="F39" i="7"/>
  <c r="E39" i="7"/>
  <c r="D39" i="7"/>
  <c r="C39" i="7"/>
  <c r="B39" i="7"/>
  <c r="M39" i="7" s="1"/>
  <c r="W38" i="7"/>
  <c r="V38" i="7"/>
  <c r="T38" i="7"/>
  <c r="L38" i="7"/>
  <c r="K38" i="7"/>
  <c r="J38" i="7"/>
  <c r="P38" i="7" s="1"/>
  <c r="R38" i="7" s="1"/>
  <c r="H38" i="7"/>
  <c r="G38" i="7"/>
  <c r="F38" i="7"/>
  <c r="S38" i="7" s="1"/>
  <c r="E38" i="7"/>
  <c r="D38" i="7"/>
  <c r="C38" i="7"/>
  <c r="B38" i="7"/>
  <c r="M38" i="7" s="1"/>
  <c r="T37" i="7"/>
  <c r="M37" i="7"/>
  <c r="L37" i="7"/>
  <c r="K37" i="7"/>
  <c r="H37" i="7"/>
  <c r="G37" i="7"/>
  <c r="E37" i="7"/>
  <c r="F37" i="7" s="1"/>
  <c r="D37" i="7"/>
  <c r="C37" i="7"/>
  <c r="B37" i="7"/>
  <c r="J37" i="7" s="1"/>
  <c r="T36" i="7"/>
  <c r="K36" i="7"/>
  <c r="L36" i="7" s="1"/>
  <c r="H36" i="7"/>
  <c r="G36" i="7"/>
  <c r="E36" i="7"/>
  <c r="D36" i="7"/>
  <c r="C36" i="7"/>
  <c r="F36" i="7" s="1"/>
  <c r="B36" i="7"/>
  <c r="M36" i="7" s="1"/>
  <c r="V35" i="7"/>
  <c r="T35" i="7"/>
  <c r="M35" i="7"/>
  <c r="K35" i="7"/>
  <c r="L35" i="7" s="1"/>
  <c r="J35" i="7"/>
  <c r="W35" i="7" s="1"/>
  <c r="H35" i="7"/>
  <c r="I35" i="7" s="1"/>
  <c r="N35" i="7" s="1"/>
  <c r="G35" i="7"/>
  <c r="F35" i="7"/>
  <c r="S35" i="7" s="1"/>
  <c r="E35" i="7"/>
  <c r="D35" i="7"/>
  <c r="C35" i="7"/>
  <c r="B35" i="7"/>
  <c r="T34" i="7"/>
  <c r="L34" i="7"/>
  <c r="K34" i="7"/>
  <c r="H34" i="7"/>
  <c r="G34" i="7"/>
  <c r="E34" i="7"/>
  <c r="D34" i="7"/>
  <c r="C34" i="7"/>
  <c r="F34" i="7" s="1"/>
  <c r="B34" i="7"/>
  <c r="M34" i="7" s="1"/>
  <c r="V33" i="7"/>
  <c r="T33" i="7"/>
  <c r="K33" i="7"/>
  <c r="J33" i="7"/>
  <c r="P33" i="7" s="1"/>
  <c r="H33" i="7"/>
  <c r="G33" i="7"/>
  <c r="E33" i="7"/>
  <c r="D33" i="7"/>
  <c r="F33" i="7" s="1"/>
  <c r="C33" i="7"/>
  <c r="B33" i="7"/>
  <c r="L33" i="7" s="1"/>
  <c r="M33" i="7" s="1"/>
  <c r="V32" i="7"/>
  <c r="T32" i="7"/>
  <c r="M32" i="7"/>
  <c r="K32" i="7"/>
  <c r="L32" i="7" s="1"/>
  <c r="J32" i="7"/>
  <c r="W32" i="7" s="1"/>
  <c r="H32" i="7"/>
  <c r="G32" i="7"/>
  <c r="E32" i="7"/>
  <c r="D32" i="7"/>
  <c r="C32" i="7"/>
  <c r="F32" i="7" s="1"/>
  <c r="B32" i="7"/>
  <c r="V31" i="7"/>
  <c r="T31" i="7"/>
  <c r="K31" i="7"/>
  <c r="H31" i="7"/>
  <c r="G31" i="7"/>
  <c r="F31" i="7"/>
  <c r="E31" i="7"/>
  <c r="D31" i="7"/>
  <c r="C31" i="7"/>
  <c r="B31" i="7"/>
  <c r="M31" i="7" s="1"/>
  <c r="W30" i="7"/>
  <c r="V30" i="7"/>
  <c r="T30" i="7"/>
  <c r="L30" i="7"/>
  <c r="K30" i="7"/>
  <c r="J30" i="7"/>
  <c r="P30" i="7" s="1"/>
  <c r="R30" i="7" s="1"/>
  <c r="H30" i="7"/>
  <c r="G30" i="7"/>
  <c r="F30" i="7"/>
  <c r="S30" i="7" s="1"/>
  <c r="E30" i="7"/>
  <c r="D30" i="7"/>
  <c r="C30" i="7"/>
  <c r="B30" i="7"/>
  <c r="M30" i="7" s="1"/>
  <c r="T29" i="7"/>
  <c r="M29" i="7"/>
  <c r="L29" i="7"/>
  <c r="K29" i="7"/>
  <c r="H29" i="7"/>
  <c r="G29" i="7"/>
  <c r="E29" i="7"/>
  <c r="F29" i="7" s="1"/>
  <c r="D29" i="7"/>
  <c r="C29" i="7"/>
  <c r="B29" i="7"/>
  <c r="J29" i="7" s="1"/>
  <c r="T28" i="7"/>
  <c r="K28" i="7"/>
  <c r="L28" i="7" s="1"/>
  <c r="H28" i="7"/>
  <c r="G28" i="7"/>
  <c r="E28" i="7"/>
  <c r="D28" i="7"/>
  <c r="C28" i="7"/>
  <c r="F28" i="7" s="1"/>
  <c r="B28" i="7"/>
  <c r="V27" i="7"/>
  <c r="T27" i="7"/>
  <c r="M27" i="7"/>
  <c r="K27" i="7"/>
  <c r="L27" i="7" s="1"/>
  <c r="J27" i="7"/>
  <c r="W27" i="7" s="1"/>
  <c r="H27" i="7"/>
  <c r="I27" i="7" s="1"/>
  <c r="N27" i="7" s="1"/>
  <c r="G27" i="7"/>
  <c r="F27" i="7"/>
  <c r="S27" i="7" s="1"/>
  <c r="E27" i="7"/>
  <c r="D27" i="7"/>
  <c r="C27" i="7"/>
  <c r="B27" i="7"/>
  <c r="T26" i="7"/>
  <c r="L26" i="7"/>
  <c r="K26" i="7"/>
  <c r="H26" i="7"/>
  <c r="G26" i="7"/>
  <c r="E26" i="7"/>
  <c r="D26" i="7"/>
  <c r="C26" i="7"/>
  <c r="F26" i="7" s="1"/>
  <c r="B26" i="7"/>
  <c r="M26" i="7" s="1"/>
  <c r="V25" i="7"/>
  <c r="T25" i="7"/>
  <c r="M25" i="7"/>
  <c r="K25" i="7"/>
  <c r="J25" i="7"/>
  <c r="P25" i="7" s="1"/>
  <c r="R25" i="7" s="1"/>
  <c r="H25" i="7"/>
  <c r="G25" i="7"/>
  <c r="E25" i="7"/>
  <c r="D25" i="7"/>
  <c r="F25" i="7" s="1"/>
  <c r="C25" i="7"/>
  <c r="B25" i="7"/>
  <c r="L25" i="7" s="1"/>
  <c r="V24" i="7"/>
  <c r="T24" i="7"/>
  <c r="M24" i="7"/>
  <c r="K24" i="7"/>
  <c r="L24" i="7" s="1"/>
  <c r="J24" i="7"/>
  <c r="W24" i="7" s="1"/>
  <c r="H24" i="7"/>
  <c r="G24" i="7"/>
  <c r="E24" i="7"/>
  <c r="D24" i="7"/>
  <c r="C24" i="7"/>
  <c r="F24" i="7" s="1"/>
  <c r="B24" i="7"/>
  <c r="V23" i="7"/>
  <c r="T23" i="7"/>
  <c r="K23" i="7"/>
  <c r="H23" i="7"/>
  <c r="G23" i="7"/>
  <c r="F23" i="7"/>
  <c r="E23" i="7"/>
  <c r="D23" i="7"/>
  <c r="C23" i="7"/>
  <c r="B23" i="7"/>
  <c r="W22" i="7"/>
  <c r="V22" i="7"/>
  <c r="T22" i="7"/>
  <c r="L22" i="7"/>
  <c r="K22" i="7"/>
  <c r="J22" i="7"/>
  <c r="P22" i="7" s="1"/>
  <c r="R22" i="7" s="1"/>
  <c r="H22" i="7"/>
  <c r="G22" i="7"/>
  <c r="F22" i="7"/>
  <c r="S22" i="7" s="1"/>
  <c r="E22" i="7"/>
  <c r="D22" i="7"/>
  <c r="C22" i="7"/>
  <c r="B22" i="7"/>
  <c r="M22" i="7" s="1"/>
  <c r="T21" i="7"/>
  <c r="M21" i="7"/>
  <c r="L21" i="7"/>
  <c r="K21" i="7"/>
  <c r="H21" i="7"/>
  <c r="G21" i="7"/>
  <c r="E21" i="7"/>
  <c r="F21" i="7" s="1"/>
  <c r="D21" i="7"/>
  <c r="C21" i="7"/>
  <c r="B21" i="7"/>
  <c r="J21" i="7" s="1"/>
  <c r="T20" i="7"/>
  <c r="K20" i="7"/>
  <c r="L20" i="7" s="1"/>
  <c r="H20" i="7"/>
  <c r="G20" i="7"/>
  <c r="E20" i="7"/>
  <c r="D20" i="7"/>
  <c r="C20" i="7"/>
  <c r="F20" i="7" s="1"/>
  <c r="B20" i="7"/>
  <c r="M20" i="7" s="1"/>
  <c r="V19" i="7"/>
  <c r="T19" i="7"/>
  <c r="M19" i="7"/>
  <c r="L19" i="7"/>
  <c r="K19" i="7"/>
  <c r="J19" i="7"/>
  <c r="W19" i="7" s="1"/>
  <c r="H19" i="7"/>
  <c r="I19" i="7" s="1"/>
  <c r="N19" i="7" s="1"/>
  <c r="G19" i="7"/>
  <c r="F19" i="7"/>
  <c r="S19" i="7" s="1"/>
  <c r="E19" i="7"/>
  <c r="D19" i="7"/>
  <c r="C19" i="7"/>
  <c r="B19" i="7"/>
  <c r="T18" i="7"/>
  <c r="L18" i="7"/>
  <c r="K18" i="7"/>
  <c r="H18" i="7"/>
  <c r="G18" i="7"/>
  <c r="E18" i="7"/>
  <c r="D18" i="7"/>
  <c r="C18" i="7"/>
  <c r="F18" i="7" s="1"/>
  <c r="B18" i="7"/>
  <c r="M18" i="7" s="1"/>
  <c r="V17" i="7"/>
  <c r="T17" i="7"/>
  <c r="M17" i="7"/>
  <c r="K17" i="7"/>
  <c r="J17" i="7"/>
  <c r="H17" i="7"/>
  <c r="G17" i="7"/>
  <c r="E17" i="7"/>
  <c r="D17" i="7"/>
  <c r="F17" i="7" s="1"/>
  <c r="C17" i="7"/>
  <c r="B17" i="7"/>
  <c r="L17" i="7" s="1"/>
  <c r="V16" i="7"/>
  <c r="T16" i="7"/>
  <c r="M16" i="7"/>
  <c r="K16" i="7"/>
  <c r="L16" i="7" s="1"/>
  <c r="J16" i="7"/>
  <c r="W16" i="7" s="1"/>
  <c r="H16" i="7"/>
  <c r="G16" i="7"/>
  <c r="E16" i="7"/>
  <c r="D16" i="7"/>
  <c r="C16" i="7"/>
  <c r="F16" i="7" s="1"/>
  <c r="B16" i="7"/>
  <c r="V15" i="7"/>
  <c r="T15" i="7"/>
  <c r="K15" i="7"/>
  <c r="H15" i="7"/>
  <c r="G15" i="7"/>
  <c r="F15" i="7"/>
  <c r="E15" i="7"/>
  <c r="D15" i="7"/>
  <c r="C15" i="7"/>
  <c r="B15" i="7"/>
  <c r="M15" i="7" s="1"/>
  <c r="W14" i="7"/>
  <c r="V14" i="7"/>
  <c r="T14" i="7"/>
  <c r="L14" i="7"/>
  <c r="K14" i="7"/>
  <c r="J14" i="7"/>
  <c r="P14" i="7" s="1"/>
  <c r="R14" i="7" s="1"/>
  <c r="H14" i="7"/>
  <c r="G14" i="7"/>
  <c r="F14" i="7"/>
  <c r="S14" i="7" s="1"/>
  <c r="E14" i="7"/>
  <c r="D14" i="7"/>
  <c r="C14" i="7"/>
  <c r="B14" i="7"/>
  <c r="M14" i="7" s="1"/>
  <c r="T13" i="7"/>
  <c r="L13" i="7"/>
  <c r="M13" i="7" s="1"/>
  <c r="K13" i="7"/>
  <c r="H13" i="7"/>
  <c r="G13" i="7"/>
  <c r="E13" i="7"/>
  <c r="F13" i="7" s="1"/>
  <c r="D13" i="7"/>
  <c r="C13" i="7"/>
  <c r="B13" i="7"/>
  <c r="J13" i="7" s="1"/>
  <c r="T12" i="7"/>
  <c r="K12" i="7"/>
  <c r="L12" i="7" s="1"/>
  <c r="H12" i="7"/>
  <c r="G12" i="7"/>
  <c r="E12" i="7"/>
  <c r="D12" i="7"/>
  <c r="C12" i="7"/>
  <c r="F12" i="7" s="1"/>
  <c r="B12" i="7"/>
  <c r="M12" i="7" s="1"/>
  <c r="V11" i="7"/>
  <c r="T11" i="7"/>
  <c r="M11" i="7"/>
  <c r="L11" i="7"/>
  <c r="K11" i="7"/>
  <c r="J11" i="7"/>
  <c r="W11" i="7" s="1"/>
  <c r="H11" i="7"/>
  <c r="I11" i="7" s="1"/>
  <c r="N11" i="7" s="1"/>
  <c r="G11" i="7"/>
  <c r="F11" i="7"/>
  <c r="S11" i="7" s="1"/>
  <c r="E11" i="7"/>
  <c r="D11" i="7"/>
  <c r="C11" i="7"/>
  <c r="B11" i="7"/>
  <c r="V10" i="7"/>
  <c r="T10" i="7"/>
  <c r="L10" i="7"/>
  <c r="K10" i="7"/>
  <c r="H10" i="7"/>
  <c r="G10" i="7"/>
  <c r="E10" i="7"/>
  <c r="D10" i="7"/>
  <c r="F10" i="7" s="1"/>
  <c r="C10" i="7"/>
  <c r="B10" i="7"/>
  <c r="M10" i="7" s="1"/>
  <c r="V9" i="7"/>
  <c r="T9" i="7"/>
  <c r="L9" i="7"/>
  <c r="K9" i="7"/>
  <c r="J9" i="7"/>
  <c r="P9" i="7" s="1"/>
  <c r="H9" i="7"/>
  <c r="G9" i="7"/>
  <c r="E9" i="7"/>
  <c r="D9" i="7"/>
  <c r="F9" i="7" s="1"/>
  <c r="C9" i="7"/>
  <c r="B9" i="7"/>
  <c r="M9" i="7" s="1"/>
  <c r="T8" i="7"/>
  <c r="K8" i="7"/>
  <c r="L8" i="7" s="1"/>
  <c r="G6" i="1" s="1"/>
  <c r="J8" i="7"/>
  <c r="W8" i="7" s="1"/>
  <c r="H8" i="7"/>
  <c r="G8" i="7"/>
  <c r="E8" i="7"/>
  <c r="D8" i="7"/>
  <c r="C8" i="7"/>
  <c r="F8" i="7" s="1"/>
  <c r="B8" i="7"/>
  <c r="A6" i="1" s="1"/>
  <c r="V7" i="7"/>
  <c r="T7" i="7"/>
  <c r="K7" i="7"/>
  <c r="H7" i="7"/>
  <c r="G7" i="7"/>
  <c r="F7" i="7"/>
  <c r="E7" i="7"/>
  <c r="D7" i="7"/>
  <c r="C7" i="7"/>
  <c r="B7" i="7"/>
  <c r="M7" i="7" s="1"/>
  <c r="W6" i="7"/>
  <c r="V6" i="7"/>
  <c r="T6" i="7"/>
  <c r="L6" i="7"/>
  <c r="K6" i="7"/>
  <c r="J6" i="7"/>
  <c r="P6" i="7" s="1"/>
  <c r="R6" i="7" s="1"/>
  <c r="H6" i="7"/>
  <c r="G6" i="7"/>
  <c r="F6" i="7"/>
  <c r="S6" i="7" s="1"/>
  <c r="E6" i="7"/>
  <c r="D6" i="7"/>
  <c r="C6" i="7"/>
  <c r="B6" i="7"/>
  <c r="M6" i="7" s="1"/>
  <c r="T5" i="7"/>
  <c r="M5" i="7"/>
  <c r="L5" i="7"/>
  <c r="K5" i="7"/>
  <c r="H5" i="7"/>
  <c r="G5" i="7"/>
  <c r="E5" i="7"/>
  <c r="D5" i="7"/>
  <c r="F5" i="7" s="1"/>
  <c r="C5" i="7"/>
  <c r="B5" i="7"/>
  <c r="J5" i="7" s="1"/>
  <c r="T4" i="7"/>
  <c r="K4" i="7"/>
  <c r="L4" i="7" s="1"/>
  <c r="H4" i="7"/>
  <c r="G4" i="7"/>
  <c r="E4" i="7"/>
  <c r="D4" i="7"/>
  <c r="C4" i="7"/>
  <c r="F4" i="7" s="1"/>
  <c r="B4" i="7"/>
  <c r="M4" i="7" s="1"/>
  <c r="I21" i="7" l="1"/>
  <c r="N21" i="7" s="1"/>
  <c r="S21" i="7"/>
  <c r="O21" i="7"/>
  <c r="U21" i="7" s="1"/>
  <c r="O44" i="7"/>
  <c r="U44" i="7" s="1"/>
  <c r="I44" i="7"/>
  <c r="N44" i="7" s="1"/>
  <c r="S44" i="7"/>
  <c r="S9" i="7"/>
  <c r="O9" i="7"/>
  <c r="U9" i="7" s="1"/>
  <c r="I9" i="7"/>
  <c r="N9" i="7" s="1"/>
  <c r="Q9" i="7" s="1"/>
  <c r="S41" i="7"/>
  <c r="O41" i="7"/>
  <c r="U41" i="7" s="1"/>
  <c r="I41" i="7"/>
  <c r="N41" i="7" s="1"/>
  <c r="Q41" i="7" s="1"/>
  <c r="O52" i="7"/>
  <c r="U52" i="7" s="1"/>
  <c r="I52" i="7"/>
  <c r="N52" i="7" s="1"/>
  <c r="S52" i="7"/>
  <c r="I18" i="7"/>
  <c r="N18" i="7" s="1"/>
  <c r="S18" i="7"/>
  <c r="O18" i="7"/>
  <c r="U18" i="7" s="1"/>
  <c r="I32" i="7"/>
  <c r="N32" i="7" s="1"/>
  <c r="S32" i="7"/>
  <c r="O32" i="7"/>
  <c r="U32" i="7" s="1"/>
  <c r="R33" i="7"/>
  <c r="O4" i="7"/>
  <c r="U4" i="7" s="1"/>
  <c r="S4" i="7"/>
  <c r="I4" i="7"/>
  <c r="N4" i="7" s="1"/>
  <c r="I29" i="7"/>
  <c r="N29" i="7" s="1"/>
  <c r="Q29" i="7" s="1"/>
  <c r="S29" i="7"/>
  <c r="O29" i="7"/>
  <c r="U29" i="7" s="1"/>
  <c r="W37" i="7"/>
  <c r="P37" i="7"/>
  <c r="R37" i="7" s="1"/>
  <c r="S49" i="7"/>
  <c r="O49" i="7"/>
  <c r="U49" i="7" s="1"/>
  <c r="I49" i="7"/>
  <c r="N49" i="7" s="1"/>
  <c r="I50" i="7"/>
  <c r="N50" i="7" s="1"/>
  <c r="W29" i="7"/>
  <c r="P29" i="7"/>
  <c r="R29" i="7" s="1"/>
  <c r="O12" i="7"/>
  <c r="U12" i="7" s="1"/>
  <c r="S12" i="7"/>
  <c r="I12" i="7"/>
  <c r="N12" i="7" s="1"/>
  <c r="M23" i="7"/>
  <c r="S17" i="7"/>
  <c r="O17" i="7"/>
  <c r="U17" i="7" s="1"/>
  <c r="I17" i="7"/>
  <c r="N17" i="7" s="1"/>
  <c r="O20" i="7"/>
  <c r="U20" i="7" s="1"/>
  <c r="I20" i="7"/>
  <c r="N20" i="7" s="1"/>
  <c r="S20" i="7"/>
  <c r="I40" i="7"/>
  <c r="N40" i="7" s="1"/>
  <c r="S40" i="7"/>
  <c r="O40" i="7"/>
  <c r="U40" i="7" s="1"/>
  <c r="P41" i="7"/>
  <c r="R41" i="7" s="1"/>
  <c r="W5" i="7"/>
  <c r="P5" i="7"/>
  <c r="R5" i="7" s="1"/>
  <c r="I37" i="7"/>
  <c r="N37" i="7" s="1"/>
  <c r="Q37" i="7" s="1"/>
  <c r="S37" i="7"/>
  <c r="O37" i="7"/>
  <c r="U37" i="7" s="1"/>
  <c r="W45" i="7"/>
  <c r="P45" i="7"/>
  <c r="R45" i="7" s="1"/>
  <c r="I24" i="7"/>
  <c r="N24" i="7" s="1"/>
  <c r="S24" i="7"/>
  <c r="O24" i="7"/>
  <c r="U24" i="7" s="1"/>
  <c r="I34" i="7"/>
  <c r="N34" i="7" s="1"/>
  <c r="S34" i="7"/>
  <c r="O34" i="7"/>
  <c r="U34" i="7" s="1"/>
  <c r="P49" i="7"/>
  <c r="R49" i="7" s="1"/>
  <c r="M28" i="7"/>
  <c r="I45" i="7"/>
  <c r="N45" i="7" s="1"/>
  <c r="Q45" i="7" s="1"/>
  <c r="S45" i="7"/>
  <c r="O45" i="7"/>
  <c r="U45" i="7" s="1"/>
  <c r="I48" i="7"/>
  <c r="N48" i="7" s="1"/>
  <c r="S48" i="7"/>
  <c r="O48" i="7"/>
  <c r="U48" i="7" s="1"/>
  <c r="W53" i="7"/>
  <c r="P53" i="7"/>
  <c r="R53" i="7" s="1"/>
  <c r="S33" i="7"/>
  <c r="O33" i="7"/>
  <c r="U33" i="7" s="1"/>
  <c r="I33" i="7"/>
  <c r="N33" i="7" s="1"/>
  <c r="Q33" i="7" s="1"/>
  <c r="R9" i="7"/>
  <c r="I16" i="7"/>
  <c r="N16" i="7" s="1"/>
  <c r="Q16" i="7" s="1"/>
  <c r="S16" i="7"/>
  <c r="O16" i="7"/>
  <c r="U16" i="7" s="1"/>
  <c r="P17" i="7"/>
  <c r="R17" i="7" s="1"/>
  <c r="O28" i="7"/>
  <c r="U28" i="7" s="1"/>
  <c r="S28" i="7"/>
  <c r="I28" i="7"/>
  <c r="N28" i="7" s="1"/>
  <c r="Q43" i="7"/>
  <c r="I53" i="7"/>
  <c r="N53" i="7" s="1"/>
  <c r="S53" i="7"/>
  <c r="O53" i="7"/>
  <c r="U53" i="7" s="1"/>
  <c r="I5" i="7"/>
  <c r="N5" i="7" s="1"/>
  <c r="S5" i="7"/>
  <c r="O5" i="7"/>
  <c r="U5" i="7" s="1"/>
  <c r="S25" i="7"/>
  <c r="O25" i="7"/>
  <c r="U25" i="7" s="1"/>
  <c r="I25" i="7"/>
  <c r="N25" i="7" s="1"/>
  <c r="Q25" i="7" s="1"/>
  <c r="Q51" i="7"/>
  <c r="I10" i="7"/>
  <c r="N10" i="7" s="1"/>
  <c r="O10" i="7"/>
  <c r="U10" i="7" s="1"/>
  <c r="S10" i="7"/>
  <c r="I13" i="7"/>
  <c r="N13" i="7" s="1"/>
  <c r="Q13" i="7" s="1"/>
  <c r="S13" i="7"/>
  <c r="O13" i="7"/>
  <c r="U13" i="7" s="1"/>
  <c r="I42" i="7"/>
  <c r="N42" i="7" s="1"/>
  <c r="S42" i="7"/>
  <c r="O42" i="7"/>
  <c r="U42" i="7" s="1"/>
  <c r="O26" i="7"/>
  <c r="U26" i="7" s="1"/>
  <c r="I26" i="7"/>
  <c r="N26" i="7" s="1"/>
  <c r="S26" i="7"/>
  <c r="I8" i="7"/>
  <c r="N8" i="7" s="1"/>
  <c r="D6" i="1"/>
  <c r="S8" i="7"/>
  <c r="G11" i="1" s="1"/>
  <c r="O8" i="7"/>
  <c r="U8" i="7" s="1"/>
  <c r="J6" i="1" s="1"/>
  <c r="W13" i="7"/>
  <c r="P13" i="7"/>
  <c r="R13" i="7" s="1"/>
  <c r="W21" i="7"/>
  <c r="P21" i="7"/>
  <c r="R21" i="7" s="1"/>
  <c r="O36" i="7"/>
  <c r="U36" i="7" s="1"/>
  <c r="I36" i="7"/>
  <c r="N36" i="7" s="1"/>
  <c r="S36" i="7"/>
  <c r="I6" i="7"/>
  <c r="N6" i="7" s="1"/>
  <c r="Q6" i="7" s="1"/>
  <c r="M8" i="7"/>
  <c r="W9" i="7"/>
  <c r="I14" i="7"/>
  <c r="N14" i="7" s="1"/>
  <c r="Q14" i="7" s="1"/>
  <c r="W17" i="7"/>
  <c r="I22" i="7"/>
  <c r="N22" i="7" s="1"/>
  <c r="Q22" i="7" s="1"/>
  <c r="S23" i="7"/>
  <c r="W25" i="7"/>
  <c r="I30" i="7"/>
  <c r="N30" i="7" s="1"/>
  <c r="Q30" i="7" s="1"/>
  <c r="S31" i="7"/>
  <c r="W33" i="7"/>
  <c r="I38" i="7"/>
  <c r="N38" i="7" s="1"/>
  <c r="Q38" i="7" s="1"/>
  <c r="W41" i="7"/>
  <c r="I46" i="7"/>
  <c r="N46" i="7" s="1"/>
  <c r="Q46" i="7" s="1"/>
  <c r="W49" i="7"/>
  <c r="J11" i="1"/>
  <c r="V4" i="7"/>
  <c r="V12" i="7"/>
  <c r="V20" i="7"/>
  <c r="V28" i="7"/>
  <c r="V36" i="7"/>
  <c r="V44" i="7"/>
  <c r="V52" i="7"/>
  <c r="P32" i="7"/>
  <c r="R32" i="7" s="1"/>
  <c r="P40" i="7"/>
  <c r="R40" i="7" s="1"/>
  <c r="P48" i="7"/>
  <c r="R48" i="7" s="1"/>
  <c r="O11" i="7"/>
  <c r="U11" i="7" s="1"/>
  <c r="O19" i="7"/>
  <c r="U19" i="7" s="1"/>
  <c r="O27" i="7"/>
  <c r="U27" i="7" s="1"/>
  <c r="O35" i="7"/>
  <c r="U35" i="7" s="1"/>
  <c r="O43" i="7"/>
  <c r="U43" i="7" s="1"/>
  <c r="O51" i="7"/>
  <c r="U51" i="7" s="1"/>
  <c r="J12" i="7"/>
  <c r="V18" i="7"/>
  <c r="P19" i="7"/>
  <c r="R19" i="7" s="1"/>
  <c r="J20" i="7"/>
  <c r="V26" i="7"/>
  <c r="P27" i="7"/>
  <c r="R27" i="7" s="1"/>
  <c r="J28" i="7"/>
  <c r="V34" i="7"/>
  <c r="P35" i="7"/>
  <c r="R35" i="7" s="1"/>
  <c r="J36" i="7"/>
  <c r="V42" i="7"/>
  <c r="P43" i="7"/>
  <c r="R43" i="7" s="1"/>
  <c r="J44" i="7"/>
  <c r="V50" i="7"/>
  <c r="P51" i="7"/>
  <c r="R51" i="7" s="1"/>
  <c r="J52" i="7"/>
  <c r="P8" i="7"/>
  <c r="R8" i="7" s="1"/>
  <c r="D11" i="1" s="1"/>
  <c r="P24" i="7"/>
  <c r="R24" i="7" s="1"/>
  <c r="O6" i="7"/>
  <c r="U6" i="7" s="1"/>
  <c r="O22" i="7"/>
  <c r="U22" i="7" s="1"/>
  <c r="O46" i="7"/>
  <c r="U46" i="7" s="1"/>
  <c r="I47" i="7"/>
  <c r="N47" i="7" s="1"/>
  <c r="J4" i="7"/>
  <c r="I23" i="7"/>
  <c r="N23" i="7" s="1"/>
  <c r="I31" i="7"/>
  <c r="N31" i="7" s="1"/>
  <c r="O38" i="7"/>
  <c r="U38" i="7" s="1"/>
  <c r="I39" i="7"/>
  <c r="N39" i="7" s="1"/>
  <c r="V5" i="7"/>
  <c r="J7" i="7"/>
  <c r="V13" i="7"/>
  <c r="J15" i="7"/>
  <c r="V21" i="7"/>
  <c r="J23" i="7"/>
  <c r="V29" i="7"/>
  <c r="J31" i="7"/>
  <c r="V37" i="7"/>
  <c r="J39" i="7"/>
  <c r="V45" i="7"/>
  <c r="J47" i="7"/>
  <c r="V53" i="7"/>
  <c r="P11" i="7"/>
  <c r="R11" i="7" s="1"/>
  <c r="I15" i="7"/>
  <c r="N15" i="7" s="1"/>
  <c r="P16" i="7"/>
  <c r="R16" i="7" s="1"/>
  <c r="I7" i="7"/>
  <c r="N7" i="7" s="1"/>
  <c r="O14" i="7"/>
  <c r="U14" i="7" s="1"/>
  <c r="V8" i="7"/>
  <c r="L15" i="7"/>
  <c r="O15" i="7" s="1"/>
  <c r="U15" i="7" s="1"/>
  <c r="J18" i="7"/>
  <c r="L23" i="7"/>
  <c r="O23" i="7" s="1"/>
  <c r="U23" i="7" s="1"/>
  <c r="J26" i="7"/>
  <c r="L31" i="7"/>
  <c r="O31" i="7" s="1"/>
  <c r="U31" i="7" s="1"/>
  <c r="J34" i="7"/>
  <c r="L39" i="7"/>
  <c r="S39" i="7" s="1"/>
  <c r="J42" i="7"/>
  <c r="L47" i="7"/>
  <c r="S47" i="7" s="1"/>
  <c r="J50" i="7"/>
  <c r="O30" i="7"/>
  <c r="U30" i="7" s="1"/>
  <c r="L7" i="7"/>
  <c r="S7" i="7" s="1"/>
  <c r="J10" i="7"/>
  <c r="L50" i="7"/>
  <c r="S50" i="7" s="1"/>
  <c r="Q48" i="7" l="1"/>
  <c r="Q12" i="7"/>
  <c r="O39" i="7"/>
  <c r="U39" i="7" s="1"/>
  <c r="O47" i="7"/>
  <c r="U47" i="7" s="1"/>
  <c r="Q10" i="7"/>
  <c r="O7" i="7"/>
  <c r="U7" i="7" s="1"/>
  <c r="P36" i="7"/>
  <c r="R36" i="7" s="1"/>
  <c r="W36" i="7"/>
  <c r="W47" i="7"/>
  <c r="P47" i="7"/>
  <c r="R47" i="7" s="1"/>
  <c r="O50" i="7"/>
  <c r="U50" i="7" s="1"/>
  <c r="Q15" i="7"/>
  <c r="P20" i="7"/>
  <c r="R20" i="7" s="1"/>
  <c r="W20" i="7"/>
  <c r="S15" i="7"/>
  <c r="Q8" i="7"/>
  <c r="A11" i="1" s="1"/>
  <c r="Q11" i="7"/>
  <c r="Q40" i="7"/>
  <c r="Q50" i="7"/>
  <c r="Q32" i="7"/>
  <c r="P28" i="7"/>
  <c r="R28" i="7" s="1"/>
  <c r="W28" i="7"/>
  <c r="Q34" i="7"/>
  <c r="Q35" i="7"/>
  <c r="Q49" i="7"/>
  <c r="Q27" i="7"/>
  <c r="P12" i="7"/>
  <c r="R12" i="7" s="1"/>
  <c r="W12" i="7"/>
  <c r="W18" i="7"/>
  <c r="P18" i="7"/>
  <c r="R18" i="7" s="1"/>
  <c r="P15" i="7"/>
  <c r="R15" i="7" s="1"/>
  <c r="W15" i="7"/>
  <c r="Q44" i="7"/>
  <c r="P4" i="7"/>
  <c r="R4" i="7" s="1"/>
  <c r="W4" i="7"/>
  <c r="W42" i="7"/>
  <c r="P42" i="7"/>
  <c r="R42" i="7" s="1"/>
  <c r="P23" i="7"/>
  <c r="R23" i="7" s="1"/>
  <c r="W23" i="7"/>
  <c r="Q5" i="7"/>
  <c r="Q20" i="7"/>
  <c r="W39" i="7"/>
  <c r="P39" i="7"/>
  <c r="R39" i="7" s="1"/>
  <c r="P44" i="7"/>
  <c r="R44" i="7" s="1"/>
  <c r="W44" i="7"/>
  <c r="W50" i="7"/>
  <c r="P50" i="7"/>
  <c r="R50" i="7" s="1"/>
  <c r="W34" i="7"/>
  <c r="P34" i="7"/>
  <c r="R34" i="7" s="1"/>
  <c r="Q24" i="7"/>
  <c r="Q17" i="7"/>
  <c r="Q18" i="7"/>
  <c r="P31" i="7"/>
  <c r="R31" i="7" s="1"/>
  <c r="W31" i="7"/>
  <c r="W26" i="7"/>
  <c r="P26" i="7"/>
  <c r="R26" i="7" s="1"/>
  <c r="P52" i="7"/>
  <c r="R52" i="7" s="1"/>
  <c r="W52" i="7"/>
  <c r="W7" i="7"/>
  <c r="P7" i="7"/>
  <c r="R7" i="7" s="1"/>
  <c r="Q7" i="7"/>
  <c r="W10" i="7"/>
  <c r="P10" i="7"/>
  <c r="R10" i="7" s="1"/>
  <c r="Q39" i="7"/>
  <c r="Q53" i="7"/>
  <c r="Q19" i="7"/>
  <c r="Q21" i="7"/>
  <c r="Q23" i="7" l="1"/>
  <c r="Q47" i="7"/>
  <c r="Q26" i="7"/>
  <c r="Q31" i="7"/>
  <c r="Q4" i="7"/>
  <c r="Q42" i="7"/>
  <c r="Q36" i="7"/>
  <c r="Q52" i="7"/>
  <c r="Q28" i="7"/>
</calcChain>
</file>

<file path=xl/sharedStrings.xml><?xml version="1.0" encoding="utf-8"?>
<sst xmlns="http://schemas.openxmlformats.org/spreadsheetml/2006/main" count="260" uniqueCount="174">
  <si>
    <t>ガラスシューティング 成長曲線パラメータ</t>
  </si>
  <si>
    <t>青色セルを変更すると、ステージ曲線とダッシュボードが更新されます。数値は初期検討用の仮定です。</t>
  </si>
  <si>
    <t>進行・敵側の基本設定</t>
  </si>
  <si>
    <t>項目</t>
  </si>
  <si>
    <t>設定値</t>
  </si>
  <si>
    <t>単位</t>
  </si>
  <si>
    <t>説明</t>
  </si>
  <si>
    <t>計算ステージ数</t>
  </si>
  <si>
    <t>stage</t>
  </si>
  <si>
    <t>確認範囲（最大50行を作成）</t>
  </si>
  <si>
    <t>リセット推奨しきい値</t>
  </si>
  <si>
    <t>攻撃/防御</t>
  </si>
  <si>
    <t>衝撃エネルギー÷敵防御力がこの値未満なら推奨</t>
  </si>
  <si>
    <t>一般ガラス防御成長率</t>
  </si>
  <si>
    <t>/stage</t>
  </si>
  <si>
    <t>前ステージ比。1.16倍として計算</t>
  </si>
  <si>
    <t>ボス防御倍率</t>
  </si>
  <si>
    <t>倍</t>
  </si>
  <si>
    <t>5の倍数ステージで一般防御に乗算</t>
  </si>
  <si>
    <t>回復コア回復率</t>
  </si>
  <si>
    <t>防御力/秒</t>
  </si>
  <si>
    <t>ボスの回復量を防御力に対する比率で表現</t>
  </si>
  <si>
    <t>一般ガラス最大面積</t>
  </si>
  <si>
    <t>面積</t>
  </si>
  <si>
    <t>一般ガラスの破砕対象面積</t>
  </si>
  <si>
    <t>ボス外殻面積</t>
  </si>
  <si>
    <t>外殻は一般ガラス相当</t>
  </si>
  <si>
    <t>ボス回復コア面積</t>
  </si>
  <si>
    <t>半径1の十二角形相当</t>
  </si>
  <si>
    <t>ボス間隔</t>
  </si>
  <si>
    <t>5の倍数でボス</t>
  </si>
  <si>
    <t>弾幕・破砕弾強化（想定強化ペース）</t>
  </si>
  <si>
    <t>初期値</t>
  </si>
  <si>
    <t>1レベル効果</t>
  </si>
  <si>
    <t>初期Lv</t>
  </si>
  <si>
    <t>何stageごとに+1Lv</t>
  </si>
  <si>
    <t>表示単位</t>
  </si>
  <si>
    <t>備考</t>
  </si>
  <si>
    <t>質量</t>
  </si>
  <si>
    <t>乗算強化</t>
  </si>
  <si>
    <t>初速</t>
  </si>
  <si>
    <t>速度</t>
  </si>
  <si>
    <t>衝撃エネルギーでは二乗で寄与</t>
  </si>
  <si>
    <t>クラック変換効率</t>
  </si>
  <si>
    <t>効率</t>
  </si>
  <si>
    <t>上限1.0</t>
  </si>
  <si>
    <t>発射レート</t>
  </si>
  <si>
    <t>発/秒</t>
  </si>
  <si>
    <t>DPSへ反映</t>
  </si>
  <si>
    <t>同時発射数</t>
  </si>
  <si>
    <t>発</t>
  </si>
  <si>
    <t>レベルごとに加算</t>
  </si>
  <si>
    <t>縮小率</t>
  </si>
  <si>
    <t>%/hit</t>
  </si>
  <si>
    <t>破砕後の撃ち過ぎによる資源減少</t>
  </si>
  <si>
    <t>プレイヤー強化（想定強化ペース）</t>
  </si>
  <si>
    <t>最大耐久力</t>
  </si>
  <si>
    <t>HP</t>
  </si>
  <si>
    <t>破壊靭性</t>
  </si>
  <si>
    <t>靭性</t>
  </si>
  <si>
    <t>当たり判定</t>
  </si>
  <si>
    <t>倍率</t>
  </si>
  <si>
    <t>下限0.40</t>
  </si>
  <si>
    <t>移動速度</t>
  </si>
  <si>
    <t>自動回収範囲</t>
  </si>
  <si>
    <t>半径</t>
  </si>
  <si>
    <t>環境・重力</t>
  </si>
  <si>
    <t>ガラス・亀裂設定</t>
  </si>
  <si>
    <t>表示名</t>
  </si>
  <si>
    <t>内部名</t>
  </si>
  <si>
    <t>表示上の説明</t>
  </si>
  <si>
    <t>表面傷間隔</t>
  </si>
  <si>
    <t>surfaceFlawMinimumSpacing</t>
  </si>
  <si>
    <t>表面傷が配置される間隔</t>
  </si>
  <si>
    <t>亀裂の最大の大きさ</t>
  </si>
  <si>
    <t>crackTipDetectionRadius</t>
  </si>
  <si>
    <t>亀裂が一度に広がれる最大半径</t>
  </si>
  <si>
    <t>亀裂抵抗値</t>
  </si>
  <si>
    <t>baseFractureResistance</t>
  </si>
  <si>
    <t>クラック形成に対する基礎抵抗</t>
  </si>
  <si>
    <t>ステージ別 成長曲線（1～50）</t>
  </si>
  <si>
    <t>Stage</t>
  </si>
  <si>
    <t>種別</t>
  </si>
  <si>
    <t>変換効率</t>
  </si>
  <si>
    <t>衝撃E/発</t>
  </si>
  <si>
    <t>攻撃DPS</t>
  </si>
  <si>
    <t>最大面積</t>
  </si>
  <si>
    <t>基礎抵抗</t>
  </si>
  <si>
    <t>敵防御力</t>
  </si>
  <si>
    <t>回復/秒</t>
  </si>
  <si>
    <t>実効DPS</t>
  </si>
  <si>
    <t>必要破砕E</t>
  </si>
  <si>
    <t>推定破砕秒</t>
  </si>
  <si>
    <t>推定必要弾数</t>
  </si>
  <si>
    <t>亀裂最大サイズ</t>
  </si>
  <si>
    <t>破砕後縮小率</t>
  </si>
  <si>
    <t>判定</t>
  </si>
  <si>
    <t>ボス構成</t>
  </si>
  <si>
    <t>推定表面傷数</t>
  </si>
  <si>
    <t>成長要素一覧</t>
  </si>
  <si>
    <t>カテゴリ</t>
  </si>
  <si>
    <t>ゲーム内効果</t>
  </si>
  <si>
    <t>曲線への反映</t>
  </si>
  <si>
    <t>現状</t>
  </si>
  <si>
    <t>弾幕・破砕弾</t>
  </si>
  <si>
    <t>質量強化</t>
  </si>
  <si>
    <t>衝撃エネルギーを増加</t>
  </si>
  <si>
    <t>E=0.5×質量×初速²×効率</t>
  </si>
  <si>
    <t>採用</t>
  </si>
  <si>
    <t>初速強化</t>
  </si>
  <si>
    <t>衝撃エネルギーを二乗で増加</t>
  </si>
  <si>
    <t>影響が大きい</t>
  </si>
  <si>
    <t>クラック変換効率強化</t>
  </si>
  <si>
    <t>衝突エネルギーから亀裂への変換を改善</t>
  </si>
  <si>
    <t>効率は1.0を上限</t>
  </si>
  <si>
    <t>発射レート強化</t>
  </si>
  <si>
    <t>秒間の攻撃回数を増加</t>
  </si>
  <si>
    <t>攻撃DPSへ反映</t>
  </si>
  <si>
    <t>同時発射数強化</t>
  </si>
  <si>
    <t>同時に当たる弾数を増加</t>
  </si>
  <si>
    <t>縮小率強化</t>
  </si>
  <si>
    <t>破砕後の追加射撃による資源減少率</t>
  </si>
  <si>
    <t>資源化後の駆け引き指標</t>
  </si>
  <si>
    <t>強すぎるほど撃ち過ぎの損失増</t>
  </si>
  <si>
    <t>プレイヤー</t>
  </si>
  <si>
    <t>最大耐久力強化</t>
  </si>
  <si>
    <t>最大HPを増加</t>
  </si>
  <si>
    <t>参考成長値</t>
  </si>
  <si>
    <t>ゲームオーバー未実装</t>
  </si>
  <si>
    <t>破壊靭性強化</t>
  </si>
  <si>
    <t>プレイヤー側の割れにくさを増加</t>
  </si>
  <si>
    <t>当たり判定縮小</t>
  </si>
  <si>
    <t>被弾判定を縮小</t>
  </si>
  <si>
    <t>移動速度強化</t>
  </si>
  <si>
    <t>移動速度を増加</t>
  </si>
  <si>
    <t>自動回収範囲強化</t>
  </si>
  <si>
    <t>資源の自動回収半径を増加</t>
  </si>
  <si>
    <t>環境・重力強化</t>
  </si>
  <si>
    <t>環境干渉・重力効果を増加</t>
  </si>
  <si>
    <t>ガラス</t>
  </si>
  <si>
    <t>表面傷の配置間隔</t>
  </si>
  <si>
    <t>推定表面傷数=面積÷間隔²</t>
  </si>
  <si>
    <t>内部名 surfaceFlawMinimumSpacing</t>
  </si>
  <si>
    <t>亀裂が一度に広がる最大半径</t>
  </si>
  <si>
    <t>衝撃/防御比で最大値まで到達</t>
  </si>
  <si>
    <t>内部名 crackTipDetectionRadius</t>
  </si>
  <si>
    <t>クラック形成への基礎抵抗</t>
  </si>
  <si>
    <t>敵防御力の基礎値</t>
  </si>
  <si>
    <t>内部名 baseFractureResistance</t>
  </si>
  <si>
    <t>モデルの読み方・現在の仮定</t>
  </si>
  <si>
    <t>進行ルール</t>
  </si>
  <si>
    <t>・5の倍数はボス、それ以外は一般ガラス。
・一般ガラスは最低限の破砕→資源化のみ。
・ボス1は一般外殻＋回復コアの2モジュール。回復量は敵防御力×回復率/秒。
・ゲームオーバーは置かず、攻撃/防御比がしきい値未満ならリセット推奨。</t>
  </si>
  <si>
    <t>主要計算式</t>
  </si>
  <si>
    <t>衝撃エネルギー/発</t>
  </si>
  <si>
    <t>0.5 × 質量 × 初速² × クラック変換効率</t>
  </si>
  <si>
    <t>衝撃エネルギー × 発射レート × 同時発射数</t>
  </si>
  <si>
    <t>亀裂抵抗値 × (1+一般成長率)^(stage-1) × ボス倍率</t>
  </si>
  <si>
    <t>必要破砕エネルギー</t>
  </si>
  <si>
    <t>最大面積 × 敵防御力</t>
  </si>
  <si>
    <t>必要破砕エネルギー ÷ (攻撃DPS－回復/秒)</t>
  </si>
  <si>
    <t>設定上限 × √(衝撃エネルギー÷敵防御力)、設定値を上限</t>
  </si>
  <si>
    <t>表示上の言い換え</t>
  </si>
  <si>
    <t>判定半径ではなく、表示上は亀裂が広がれる最大サイズ</t>
  </si>
  <si>
    <t>クラック形成への抵抗</t>
  </si>
  <si>
    <t>注意</t>
  </si>
  <si>
    <t>このブックは成長率の比較用です。青色の入力値を調整し、ボスで推定破砕秒が急増し過ぎないか、一般ステージで攻撃/防御比が落ち過ぎないかを確認してください。資源収入量と強化コストは未確定のため、現段階では時間・弾数・比率を代理指標にしています。</t>
  </si>
  <si>
    <t>ガラスシューティング 成長曲線ダッシュボード</t>
  </si>
  <si>
    <t>対象ステージ</t>
  </si>
  <si>
    <t>黄色セルでステージを切替。5の倍数はボス（一般外殻＋回復コア）です。</t>
  </si>
  <si>
    <t>継続判定</t>
  </si>
  <si>
    <t>登場ガラス最大面積</t>
  </si>
  <si>
    <t>判断の目安</t>
  </si>
  <si>
    <t>攻撃/防御比がしきい値未満になると「リセット推奨」です。
ボスでは防御倍率と回復コアにより破砕時間が増えます。
一般ガラスは破砕→資源化のみで、追加モジュールはありません。
資源収入・強化コスト確定後は、この比率へ経済曲線を接続できます。</t>
  </si>
  <si>
    <t>回収範囲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</si>
</sst>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12">
    <font>
      <sz val="11"/>
      <color theme="1"/>
      <name val="Yu Gothic"/>
      <family val="2"/>
      <scheme val="minor"/>
    </font>
    <font>
      <sz val="10"/>
      <color theme="1"/>
      <name val="Yu Gothic UI"/>
      <family val="3"/>
      <charset val="128"/>
    </font>
    <font>
      <b/>
      <sz val="18"/>
      <color rgb="FFFFFFFF"/>
      <name val="Yu Gothic UI"/>
      <family val="3"/>
      <charset val="128"/>
    </font>
    <font>
      <sz val="6"/>
      <name val="Yu Gothic"/>
      <family val="3"/>
      <charset val="128"/>
      <scheme val="minor"/>
    </font>
    <font>
      <sz val="10"/>
      <color rgb="FF666666"/>
      <name val="Yu Gothic UI"/>
      <family val="3"/>
      <charset val="128"/>
    </font>
    <font>
      <b/>
      <sz val="12"/>
      <color rgb="FF134E27"/>
      <name val="Yu Gothic UI"/>
      <family val="3"/>
      <charset val="128"/>
    </font>
    <font>
      <b/>
      <sz val="10"/>
      <color rgb="FFFFFFFF"/>
      <name val="Yu Gothic UI"/>
      <family val="3"/>
      <charset val="128"/>
    </font>
    <font>
      <b/>
      <sz val="10"/>
      <color rgb="FF134E27"/>
      <name val="Yu Gothic UI"/>
      <family val="3"/>
      <charset val="128"/>
    </font>
    <font>
      <b/>
      <sz val="10"/>
      <color theme="1"/>
      <name val="Yu Gothic UI"/>
      <family val="3"/>
      <charset val="128"/>
    </font>
    <font>
      <sz val="10"/>
      <color rgb="FF784E1F"/>
      <name val="Yu Gothic UI"/>
      <family val="3"/>
      <charset val="128"/>
    </font>
    <font>
      <b/>
      <sz val="10"/>
      <color rgb="FF784E1F"/>
      <name val="Yu Gothic UI"/>
      <family val="3"/>
      <charset val="128"/>
    </font>
    <font>
      <b/>
      <sz val="16"/>
      <color theme="1"/>
      <name val="Yu Gothic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3B6E"/>
        <bgColor indexed="64"/>
      </patternFill>
    </fill>
    <fill>
      <patternFill patternType="solid">
        <fgColor rgb="FFD3EAD9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F5FBF7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1" fillId="0" borderId="0" xfId="0" applyFont="1"/>
    <xf numFmtId="0" fontId="5" fillId="3" borderId="0" xfId="0" applyFont="1" applyFill="1" applyAlignment="1">
      <alignment horizontal="left"/>
    </xf>
    <xf numFmtId="0" fontId="8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79" fontId="9" fillId="5" borderId="1" xfId="0" applyNumberFormat="1" applyFont="1" applyFill="1" applyBorder="1" applyAlignment="1">
      <alignment vertical="center"/>
    </xf>
    <xf numFmtId="2" fontId="9" fillId="5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79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179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0" xfId="0" applyFont="1" applyAlignment="1">
      <alignment vertical="top" wrapText="1"/>
    </xf>
    <xf numFmtId="0" fontId="8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0" fillId="5" borderId="0" xfId="0" applyFont="1" applyFill="1"/>
    <xf numFmtId="0" fontId="7" fillId="3" borderId="1" xfId="0" applyFont="1" applyFill="1" applyBorder="1" applyAlignment="1">
      <alignment horizontal="center"/>
    </xf>
    <xf numFmtId="49" fontId="11" fillId="7" borderId="1" xfId="0" applyNumberFormat="1" applyFont="1" applyFill="1" applyBorder="1" applyAlignment="1">
      <alignment horizontal="center" vertical="center"/>
    </xf>
    <xf numFmtId="2" fontId="11" fillId="7" borderId="1" xfId="0" applyNumberFormat="1" applyFont="1" applyFill="1" applyBorder="1" applyAlignment="1">
      <alignment horizontal="center" vertical="center"/>
    </xf>
    <xf numFmtId="1" fontId="11" fillId="7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/>
    <xf numFmtId="0" fontId="1" fillId="0" borderId="1" xfId="0" applyFont="1" applyBorder="1"/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標準" xfId="0" builtinId="0"/>
  </cellStyles>
  <dxfs count="31">
    <dxf>
      <font>
        <color rgb="FF990000"/>
      </font>
      <fill>
        <patternFill>
          <bgColor rgb="FFFFC6C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Yu Gothic UI"/>
        <family val="3"/>
        <charset val="128"/>
        <scheme val="none"/>
      </font>
      <fill>
        <patternFill patternType="solid">
          <fgColor indexed="64"/>
          <bgColor rgb="FF1F3B6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0.0%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0.0%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179" formatCode="0.0%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Yu Gothic UI"/>
        <family val="3"/>
        <charset val="128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top style="thin">
          <color rgb="FFD9D9D9"/>
        </top>
      </border>
    </dxf>
    <dxf>
      <border outline="0">
        <bottom style="thin">
          <color rgb="FFD9D9D9"/>
        </bottom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/>
        <i val="0"/>
        <color rgb="FF990000"/>
      </font>
      <fill>
        <patternFill>
          <bgColor rgb="FFFFC6C6"/>
        </patternFill>
      </fill>
    </dxf>
    <dxf>
      <fill>
        <patternFill>
          <bgColor rgb="FFF8D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攻撃力と敵防御力（対数目盛）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衝撃エネルギー/発</c:v>
          </c:tx>
          <c:spPr>
            <a:ln w="28575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ステージ曲線!$A$4:$A$53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ステージ曲線!$F$4:$F$53</c:f>
              <c:numCache>
                <c:formatCode>0.00</c:formatCode>
                <c:ptCount val="50"/>
                <c:pt idx="0">
                  <c:v>36</c:v>
                </c:pt>
                <c:pt idx="1">
                  <c:v>36</c:v>
                </c:pt>
                <c:pt idx="2">
                  <c:v>38.952576000000001</c:v>
                </c:pt>
                <c:pt idx="3">
                  <c:v>40.121153280000001</c:v>
                </c:pt>
                <c:pt idx="4">
                  <c:v>43.411729787412483</c:v>
                </c:pt>
                <c:pt idx="5">
                  <c:v>43.411729787412483</c:v>
                </c:pt>
                <c:pt idx="6">
                  <c:v>48.381351804186615</c:v>
                </c:pt>
                <c:pt idx="7">
                  <c:v>48.381351804186615</c:v>
                </c:pt>
                <c:pt idx="8">
                  <c:v>52.349396753758796</c:v>
                </c:pt>
                <c:pt idx="9">
                  <c:v>53.919878656371559</c:v>
                </c:pt>
                <c:pt idx="10">
                  <c:v>58.342171424252527</c:v>
                </c:pt>
                <c:pt idx="11">
                  <c:v>58.342171424252527</c:v>
                </c:pt>
                <c:pt idx="12">
                  <c:v>65.020977844457533</c:v>
                </c:pt>
                <c:pt idx="13">
                  <c:v>65.020977844457533</c:v>
                </c:pt>
                <c:pt idx="14">
                  <c:v>70.35373836334854</c:v>
                </c:pt>
                <c:pt idx="15">
                  <c:v>72.464350514248991</c:v>
                </c:pt>
                <c:pt idx="16">
                  <c:v>78.407586686025667</c:v>
                </c:pt>
                <c:pt idx="17">
                  <c:v>78.407586686025667</c:v>
                </c:pt>
                <c:pt idx="18">
                  <c:v>87.383411215136761</c:v>
                </c:pt>
                <c:pt idx="19">
                  <c:v>87.383411215136761</c:v>
                </c:pt>
                <c:pt idx="20">
                  <c:v>94.55024906935742</c:v>
                </c:pt>
                <c:pt idx="21">
                  <c:v>97.38675654143816</c:v>
                </c:pt>
                <c:pt idx="22">
                  <c:v>105.37402876594068</c:v>
                </c:pt>
                <c:pt idx="23">
                  <c:v>105.37402876594068</c:v>
                </c:pt>
                <c:pt idx="24">
                  <c:v>117.43687666248438</c:v>
                </c:pt>
                <c:pt idx="25">
                  <c:v>117.43687666248438</c:v>
                </c:pt>
                <c:pt idx="26">
                  <c:v>127.06857953883467</c:v>
                </c:pt>
                <c:pt idx="27">
                  <c:v>130.88063692499972</c:v>
                </c:pt>
                <c:pt idx="28">
                  <c:v>141.61494324304053</c:v>
                </c:pt>
                <c:pt idx="29">
                  <c:v>141.61494324304053</c:v>
                </c:pt>
                <c:pt idx="30">
                  <c:v>157.82652346090353</c:v>
                </c:pt>
                <c:pt idx="31">
                  <c:v>157.82652346090353</c:v>
                </c:pt>
                <c:pt idx="32">
                  <c:v>170.77082360907306</c:v>
                </c:pt>
                <c:pt idx="33">
                  <c:v>175.89394831734526</c:v>
                </c:pt>
                <c:pt idx="34">
                  <c:v>190.32006638254069</c:v>
                </c:pt>
                <c:pt idx="35">
                  <c:v>190.32006638254069</c:v>
                </c:pt>
                <c:pt idx="36">
                  <c:v>212.10723765538017</c:v>
                </c:pt>
                <c:pt idx="37">
                  <c:v>212.10723765538017</c:v>
                </c:pt>
                <c:pt idx="38">
                  <c:v>229.50342485892386</c:v>
                </c:pt>
                <c:pt idx="39">
                  <c:v>236.38852760469155</c:v>
                </c:pt>
                <c:pt idx="40">
                  <c:v>255.77616908471802</c:v>
                </c:pt>
                <c:pt idx="41">
                  <c:v>255.77616908471802</c:v>
                </c:pt>
                <c:pt idx="42">
                  <c:v>285.05652458942143</c:v>
                </c:pt>
                <c:pt idx="43">
                  <c:v>285.05652458942143</c:v>
                </c:pt>
                <c:pt idx="44">
                  <c:v>308.43572051014735</c:v>
                </c:pt>
                <c:pt idx="45">
                  <c:v>317.68879212545176</c:v>
                </c:pt>
                <c:pt idx="46">
                  <c:v>343.7443561004128</c:v>
                </c:pt>
                <c:pt idx="47">
                  <c:v>343.7443561004128</c:v>
                </c:pt>
                <c:pt idx="48">
                  <c:v>383.09500000665457</c:v>
                </c:pt>
                <c:pt idx="49">
                  <c:v>383.09500000665457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39-4341-A622-753E6A998B2F}"/>
            </c:ext>
          </c:extLst>
        </c:ser>
        <c:ser>
          <c:idx val="1"/>
          <c:order val="1"/>
          <c:tx>
            <c:v>敵防御力</c:v>
          </c:tx>
          <c:spPr>
            <a:ln w="28575">
              <a:solidFill>
                <a:srgbClr val="1F3B6E"/>
              </a:solidFill>
            </a:ln>
          </c:spPr>
          <c:marker>
            <c:symbol val="none"/>
          </c:marker>
          <c:cat>
            <c:numRef>
              <c:f>ステージ曲線!$A$4:$A$53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ステージ曲線!$L$4:$L$53</c:f>
              <c:numCache>
                <c:formatCode>0.00</c:formatCode>
                <c:ptCount val="50"/>
                <c:pt idx="0">
                  <c:v>1</c:v>
                </c:pt>
                <c:pt idx="1">
                  <c:v>1.1599999999999999</c:v>
                </c:pt>
                <c:pt idx="2">
                  <c:v>1.3455999999999999</c:v>
                </c:pt>
                <c:pt idx="3">
                  <c:v>1.5608959999999998</c:v>
                </c:pt>
                <c:pt idx="4">
                  <c:v>10.863836159999998</c:v>
                </c:pt>
                <c:pt idx="5">
                  <c:v>2.1003416575999996</c:v>
                </c:pt>
                <c:pt idx="6">
                  <c:v>2.4363963228159995</c:v>
                </c:pt>
                <c:pt idx="7">
                  <c:v>2.8262197344665592</c:v>
                </c:pt>
                <c:pt idx="8">
                  <c:v>3.2784148919812086</c:v>
                </c:pt>
                <c:pt idx="9">
                  <c:v>22.817767648189211</c:v>
                </c:pt>
                <c:pt idx="10">
                  <c:v>4.4114350786499141</c:v>
                </c:pt>
                <c:pt idx="11">
                  <c:v>5.1172646912338999</c:v>
                </c:pt>
                <c:pt idx="12">
                  <c:v>5.9360270418313235</c:v>
                </c:pt>
                <c:pt idx="13">
                  <c:v>6.8857913685243348</c:v>
                </c:pt>
                <c:pt idx="14">
                  <c:v>47.925107924929371</c:v>
                </c:pt>
                <c:pt idx="15">
                  <c:v>9.2655208654863443</c:v>
                </c:pt>
                <c:pt idx="16">
                  <c:v>10.748004203964159</c:v>
                </c:pt>
                <c:pt idx="17">
                  <c:v>12.467684876598424</c:v>
                </c:pt>
                <c:pt idx="18">
                  <c:v>14.462514456854171</c:v>
                </c:pt>
                <c:pt idx="19">
                  <c:v>100.65910061970503</c:v>
                </c:pt>
                <c:pt idx="20">
                  <c:v>19.46075945314297</c:v>
                </c:pt>
                <c:pt idx="21">
                  <c:v>22.574480965645847</c:v>
                </c:pt>
                <c:pt idx="22">
                  <c:v>26.186397920149183</c:v>
                </c:pt>
                <c:pt idx="23">
                  <c:v>30.376221587373049</c:v>
                </c:pt>
                <c:pt idx="24">
                  <c:v>211.41850224811643</c:v>
                </c:pt>
                <c:pt idx="25">
                  <c:v>40.874243767969169</c:v>
                </c:pt>
                <c:pt idx="26">
                  <c:v>47.414122770844237</c:v>
                </c:pt>
                <c:pt idx="27">
                  <c:v>55.000382414179313</c:v>
                </c:pt>
                <c:pt idx="28">
                  <c:v>63.800443600447998</c:v>
                </c:pt>
                <c:pt idx="29">
                  <c:v>444.05108745911804</c:v>
                </c:pt>
                <c:pt idx="30">
                  <c:v>85.849876908762823</c:v>
                </c:pt>
                <c:pt idx="31">
                  <c:v>99.585857214164861</c:v>
                </c:pt>
                <c:pt idx="32">
                  <c:v>115.51959436843124</c:v>
                </c:pt>
                <c:pt idx="33">
                  <c:v>134.00272946738022</c:v>
                </c:pt>
                <c:pt idx="34">
                  <c:v>932.65899709296639</c:v>
                </c:pt>
                <c:pt idx="35">
                  <c:v>180.31407277130683</c:v>
                </c:pt>
                <c:pt idx="36">
                  <c:v>209.16432441471591</c:v>
                </c:pt>
                <c:pt idx="37">
                  <c:v>242.63061632107045</c:v>
                </c:pt>
                <c:pt idx="38">
                  <c:v>281.45151493244174</c:v>
                </c:pt>
                <c:pt idx="39">
                  <c:v>1958.9025439297943</c:v>
                </c:pt>
                <c:pt idx="40">
                  <c:v>378.72115849309353</c:v>
                </c:pt>
                <c:pt idx="41">
                  <c:v>439.31654385198851</c:v>
                </c:pt>
                <c:pt idx="42">
                  <c:v>509.60719086830665</c:v>
                </c:pt>
                <c:pt idx="43">
                  <c:v>591.14434140723563</c:v>
                </c:pt>
                <c:pt idx="44">
                  <c:v>4114.3646161943598</c:v>
                </c:pt>
                <c:pt idx="45">
                  <c:v>795.44382579757621</c:v>
                </c:pt>
                <c:pt idx="46">
                  <c:v>922.71483792518836</c:v>
                </c:pt>
                <c:pt idx="47">
                  <c:v>1070.3492119932184</c:v>
                </c:pt>
                <c:pt idx="48">
                  <c:v>1241.6050859121335</c:v>
                </c:pt>
                <c:pt idx="49">
                  <c:v>8641.5713979484481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39-4341-A622-753E6A998B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32432"/>
        <c:axId val="218332912"/>
      </c:lineChart>
      <c:catAx>
        <c:axId val="21833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ステージ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332912"/>
        <c:crosses val="autoZero"/>
        <c:auto val="1"/>
        <c:lblAlgn val="ctr"/>
        <c:lblOffset val="100"/>
        <c:noMultiLvlLbl val="0"/>
      </c:catAx>
      <c:valAx>
        <c:axId val="21833291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攻撃力と敵防御力（対数目盛）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21833243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推定破砕秒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推定破砕秒</c:v>
          </c:tx>
          <c:spPr>
            <a:ln w="28575">
              <a:solidFill>
                <a:srgbClr val="808000"/>
              </a:solidFill>
            </a:ln>
          </c:spPr>
          <c:marker>
            <c:symbol val="none"/>
          </c:marker>
          <c:cat>
            <c:numRef>
              <c:f>ステージ曲線!$A$4:$A$53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ステージ曲線!$Q$4:$Q$53</c:f>
              <c:numCache>
                <c:formatCode>0.00</c:formatCode>
                <c:ptCount val="50"/>
                <c:pt idx="0">
                  <c:v>0.16666666666666666</c:v>
                </c:pt>
                <c:pt idx="1">
                  <c:v>0.1933333333333333</c:v>
                </c:pt>
                <c:pt idx="2">
                  <c:v>0.20123050660222694</c:v>
                </c:pt>
                <c:pt idx="3">
                  <c:v>0.22662853170736239</c:v>
                </c:pt>
                <c:pt idx="4">
                  <c:v>1.6035764940981134</c:v>
                </c:pt>
                <c:pt idx="5">
                  <c:v>0.27362744547594831</c:v>
                </c:pt>
                <c:pt idx="6">
                  <c:v>0.2765091536996902</c:v>
                </c:pt>
                <c:pt idx="7">
                  <c:v>0.32075061829164064</c:v>
                </c:pt>
                <c:pt idx="8">
                  <c:v>0.33385246247485006</c:v>
                </c:pt>
                <c:pt idx="9">
                  <c:v>2.5668805515092052</c:v>
                </c:pt>
                <c:pt idx="10">
                  <c:v>0.19567368976955843</c:v>
                </c:pt>
                <c:pt idx="11">
                  <c:v>0.22698148013268779</c:v>
                </c:pt>
                <c:pt idx="12">
                  <c:v>0.22937193623915669</c:v>
                </c:pt>
                <c:pt idx="13">
                  <c:v>0.26607144603742172</c:v>
                </c:pt>
                <c:pt idx="14">
                  <c:v>1.8850045352082869</c:v>
                </c:pt>
                <c:pt idx="15">
                  <c:v>0.31189335074852909</c:v>
                </c:pt>
                <c:pt idx="16">
                  <c:v>0.32463339815685799</c:v>
                </c:pt>
                <c:pt idx="17">
                  <c:v>0.37657474186195522</c:v>
                </c:pt>
                <c:pt idx="18">
                  <c:v>0.38054063983169106</c:v>
                </c:pt>
                <c:pt idx="19">
                  <c:v>3.0196214965145356</c:v>
                </c:pt>
                <c:pt idx="20">
                  <c:v>0.3063055429442671</c:v>
                </c:pt>
                <c:pt idx="21">
                  <c:v>0.34496546584014542</c:v>
                </c:pt>
                <c:pt idx="22">
                  <c:v>0.35905642474802968</c:v>
                </c:pt>
                <c:pt idx="23">
                  <c:v>0.41650545270771433</c:v>
                </c:pt>
                <c:pt idx="24">
                  <c:v>2.8773518178146347</c:v>
                </c:pt>
                <c:pt idx="25">
                  <c:v>0.48823458204444575</c:v>
                </c:pt>
                <c:pt idx="26">
                  <c:v>0.50817771871826067</c:v>
                </c:pt>
                <c:pt idx="27">
                  <c:v>0.57231665409046828</c:v>
                </c:pt>
                <c:pt idx="28">
                  <c:v>0.59569432882508466</c:v>
                </c:pt>
                <c:pt idx="29">
                  <c:v>4.7630248750330404</c:v>
                </c:pt>
                <c:pt idx="30">
                  <c:v>0.52371206025529549</c:v>
                </c:pt>
                <c:pt idx="31">
                  <c:v>0.60750598989614268</c:v>
                </c:pt>
                <c:pt idx="32">
                  <c:v>0.63232105919321457</c:v>
                </c:pt>
                <c:pt idx="33">
                  <c:v>0.71212857151857156</c:v>
                </c:pt>
                <c:pt idx="34">
                  <c:v>5.1170004046698212</c:v>
                </c:pt>
                <c:pt idx="35">
                  <c:v>0.85981195927561394</c:v>
                </c:pt>
                <c:pt idx="36">
                  <c:v>0.86886707138107755</c:v>
                </c:pt>
                <c:pt idx="37">
                  <c:v>1.0078858028020499</c:v>
                </c:pt>
                <c:pt idx="38">
                  <c:v>1.0490553656640449</c:v>
                </c:pt>
                <c:pt idx="39">
                  <c:v>8.2679038109986518</c:v>
                </c:pt>
                <c:pt idx="40">
                  <c:v>0.98377604358692117</c:v>
                </c:pt>
                <c:pt idx="41">
                  <c:v>1.1411802105608284</c:v>
                </c:pt>
                <c:pt idx="42">
                  <c:v>1.153198553208528</c:v>
                </c:pt>
                <c:pt idx="43">
                  <c:v>1.3377103217218924</c:v>
                </c:pt>
                <c:pt idx="44">
                  <c:v>9.8080670927006324</c:v>
                </c:pt>
                <c:pt idx="45">
                  <c:v>1.5680861692842198</c:v>
                </c:pt>
                <c:pt idx="46">
                  <c:v>1.6321384874534945</c:v>
                </c:pt>
                <c:pt idx="47">
                  <c:v>1.8932806454460536</c:v>
                </c:pt>
                <c:pt idx="48">
                  <c:v>1.9132197359723842</c:v>
                </c:pt>
                <c:pt idx="49">
                  <c:v>16.049057534603566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58-416E-8BA5-FF77C7E48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35312"/>
        <c:axId val="218336272"/>
      </c:lineChart>
      <c:catAx>
        <c:axId val="218335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ステージ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336272"/>
        <c:crosses val="autoZero"/>
        <c:auto val="1"/>
        <c:lblAlgn val="ctr"/>
        <c:lblOffset val="100"/>
        <c:noMultiLvlLbl val="0"/>
      </c:catAx>
      <c:valAx>
        <c:axId val="2183362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推定破砕秒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218335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攻撃</a:t>
            </a:r>
            <a:r>
              <a:rPr lang="en-US" altLang="ja-JP"/>
              <a:t>/</a:t>
            </a:r>
            <a:r>
              <a:rPr lang="ja-JP" altLang="en-US"/>
              <a:t>防御比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攻撃/防御</c:v>
          </c:tx>
          <c:spPr>
            <a:ln w="28575">
              <a:solidFill>
                <a:srgbClr val="FFA500"/>
              </a:solidFill>
            </a:ln>
          </c:spPr>
          <c:marker>
            <c:symbol val="none"/>
          </c:marker>
          <c:cat>
            <c:numRef>
              <c:f>ステージ曲線!$A$4:$A$53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ステージ曲線!$O$4:$O$53</c:f>
              <c:numCache>
                <c:formatCode>0.0%</c:formatCode>
                <c:ptCount val="50"/>
                <c:pt idx="0">
                  <c:v>36</c:v>
                </c:pt>
                <c:pt idx="1">
                  <c:v>31.03448275862069</c:v>
                </c:pt>
                <c:pt idx="2">
                  <c:v>28.948109393579074</c:v>
                </c:pt>
                <c:pt idx="3">
                  <c:v>25.703924720160732</c:v>
                </c:pt>
                <c:pt idx="4">
                  <c:v>3.9959853175300917</c:v>
                </c:pt>
                <c:pt idx="5">
                  <c:v>20.66888957343151</c:v>
                </c:pt>
                <c:pt idx="6">
                  <c:v>19.857751118367801</c:v>
                </c:pt>
                <c:pt idx="7">
                  <c:v>17.118750964110177</c:v>
                </c:pt>
                <c:pt idx="8">
                  <c:v>15.96789865791607</c:v>
                </c:pt>
                <c:pt idx="9">
                  <c:v>2.3630654623065448</c:v>
                </c:pt>
                <c:pt idx="10">
                  <c:v>13.22521365136075</c:v>
                </c:pt>
                <c:pt idx="11">
                  <c:v>11.401046251173062</c:v>
                </c:pt>
                <c:pt idx="12">
                  <c:v>10.953618874417714</c:v>
                </c:pt>
                <c:pt idx="13">
                  <c:v>9.4427748917394094</c:v>
                </c:pt>
                <c:pt idx="14">
                  <c:v>1.4679933214454461</c:v>
                </c:pt>
                <c:pt idx="15">
                  <c:v>7.8208609711490151</c:v>
                </c:pt>
                <c:pt idx="16">
                  <c:v>7.2950833659989449</c:v>
                </c:pt>
                <c:pt idx="17">
                  <c:v>6.2888649706887456</c:v>
                </c:pt>
                <c:pt idx="18">
                  <c:v>6.0420621514900841</c:v>
                </c:pt>
                <c:pt idx="19">
                  <c:v>0.86811237808765584</c:v>
                </c:pt>
                <c:pt idx="20">
                  <c:v>4.8585076701149648</c:v>
                </c:pt>
                <c:pt idx="21">
                  <c:v>4.3140197415675985</c:v>
                </c:pt>
                <c:pt idx="22">
                  <c:v>4.0239986074931062</c:v>
                </c:pt>
                <c:pt idx="23">
                  <c:v>3.468964316804402</c:v>
                </c:pt>
                <c:pt idx="24">
                  <c:v>0.55547114095370365</c:v>
                </c:pt>
                <c:pt idx="25">
                  <c:v>2.8731265911398465</c:v>
                </c:pt>
                <c:pt idx="26">
                  <c:v>2.6799732255506652</c:v>
                </c:pt>
                <c:pt idx="27">
                  <c:v>2.3796313985492978</c:v>
                </c:pt>
                <c:pt idx="28">
                  <c:v>2.2196545235626877</c:v>
                </c:pt>
                <c:pt idx="29">
                  <c:v>0.31891587982222525</c:v>
                </c:pt>
                <c:pt idx="30">
                  <c:v>1.8384012784157404</c:v>
                </c:pt>
                <c:pt idx="31">
                  <c:v>1.5848286882894316</c:v>
                </c:pt>
                <c:pt idx="32">
                  <c:v>1.4782844810242917</c:v>
                </c:pt>
                <c:pt idx="33">
                  <c:v>1.3126146684957074</c:v>
                </c:pt>
                <c:pt idx="34">
                  <c:v>0.20406179211882924</c:v>
                </c:pt>
                <c:pt idx="35">
                  <c:v>1.0554920282008411</c:v>
                </c:pt>
                <c:pt idx="36">
                  <c:v>1.0140698622908049</c:v>
                </c:pt>
                <c:pt idx="37">
                  <c:v>0.87419815714724547</c:v>
                </c:pt>
                <c:pt idx="38">
                  <c:v>0.81542792517571905</c:v>
                </c:pt>
                <c:pt idx="39">
                  <c:v>0.12067396019123428</c:v>
                </c:pt>
                <c:pt idx="40">
                  <c:v>0.67536804677730311</c:v>
                </c:pt>
                <c:pt idx="41">
                  <c:v>0.58221383342870958</c:v>
                </c:pt>
                <c:pt idx="42">
                  <c:v>0.55936519283356445</c:v>
                </c:pt>
                <c:pt idx="43">
                  <c:v>0.48221137313238321</c:v>
                </c:pt>
                <c:pt idx="44">
                  <c:v>7.4965577745863307E-2</c:v>
                </c:pt>
                <c:pt idx="45">
                  <c:v>0.39938557799089247</c:v>
                </c:pt>
                <c:pt idx="46">
                  <c:v>0.37253584961671854</c:v>
                </c:pt>
                <c:pt idx="47">
                  <c:v>0.32115159449717118</c:v>
                </c:pt>
                <c:pt idx="48">
                  <c:v>0.30854818843240917</c:v>
                </c:pt>
                <c:pt idx="49">
                  <c:v>4.4331636269024317E-2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B0B-4134-A236-2F7D96BA4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8341072"/>
        <c:axId val="218336752"/>
      </c:lineChart>
      <c:catAx>
        <c:axId val="218341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ステージ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8336752"/>
        <c:crosses val="autoZero"/>
        <c:auto val="1"/>
        <c:lblAlgn val="ctr"/>
        <c:lblOffset val="100"/>
        <c:noMultiLvlLbl val="0"/>
      </c:catAx>
      <c:valAx>
        <c:axId val="2183367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攻撃</a:t>
                </a:r>
                <a:r>
                  <a:rPr lang="en-US" altLang="ja-JP"/>
                  <a:t>/</a:t>
                </a:r>
                <a:r>
                  <a:rPr lang="ja-JP" altLang="en-US"/>
                  <a:t>防御比</a:t>
                </a:r>
              </a:p>
            </c:rich>
          </c:tx>
          <c:overlay val="0"/>
        </c:title>
        <c:numFmt formatCode="0.00" sourceLinked="0"/>
        <c:majorTickMark val="out"/>
        <c:minorTickMark val="none"/>
        <c:tickLblPos val="nextTo"/>
        <c:crossAx val="21834107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13</xdr:row>
      <xdr:rowOff>117475</xdr:rowOff>
    </xdr:from>
    <xdr:to>
      <xdr:col>6</xdr:col>
      <xdr:colOff>298450</xdr:colOff>
      <xdr:row>31</xdr:row>
      <xdr:rowOff>161925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DA792B5-C9ED-AC33-844A-33367A8A8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6</xdr:col>
      <xdr:colOff>552450</xdr:colOff>
      <xdr:row>13</xdr:row>
      <xdr:rowOff>117475</xdr:rowOff>
    </xdr:from>
    <xdr:to>
      <xdr:col>20</xdr:col>
      <xdr:colOff>38100</xdr:colOff>
      <xdr:row>31</xdr:row>
      <xdr:rowOff>161925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2FB3F506-7641-AD5E-E611-40190D351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127000</xdr:colOff>
      <xdr:row>33</xdr:row>
      <xdr:rowOff>53975</xdr:rowOff>
    </xdr:from>
    <xdr:to>
      <xdr:col>6</xdr:col>
      <xdr:colOff>298450</xdr:colOff>
      <xdr:row>51</xdr:row>
      <xdr:rowOff>98425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988326C8-A7EE-2AA5-BF77-54BA7F956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12A798-F184-474E-AC5C-4FB56DD44647}" name="StageCurveTable" displayName="StageCurveTable" ref="A3:W53" totalsRowShown="0" headerRowDxfId="5" dataDxfId="4" headerRowBorderDxfId="27" tableBorderDxfId="28" totalsRowBorderDxfId="26">
  <autoFilter ref="A3:W53" xr:uid="{EE12A798-F184-474E-AC5C-4FB56DD44647}"/>
  <tableColumns count="23">
    <tableColumn id="1" xr3:uid="{0C5DCC88-9EE9-40F6-A53B-1F93FF681D6F}" name="Stage" dataDxfId="25"/>
    <tableColumn id="2" xr3:uid="{5E006B41-0C91-4AC8-8746-3BC75ED0940F}" name="種別" dataDxfId="24">
      <calculatedColumnFormula>IF(MOD(A4,パラメータ!$B$15)=0,"ボス","一般")</calculatedColumnFormula>
    </tableColumn>
    <tableColumn id="3" xr3:uid="{EEE57685-E016-4181-B4DE-E2C294A3BE88}" name="質量" dataDxfId="23">
      <calculatedColumnFormula>パラメータ!$B$19*(1+パラメータ!$C$19)^(パラメータ!$D$19+INT((A4-1)/パラメータ!$E$19))</calculatedColumnFormula>
    </tableColumn>
    <tableColumn id="4" xr3:uid="{9579A8FA-E508-4591-9FE0-8B58B7E5694B}" name="初速" dataDxfId="22">
      <calculatedColumnFormula>パラメータ!$B$20*(1+パラメータ!$C$20)^(パラメータ!$D$20+INT((A4-1)/パラメータ!$E$20))</calculatedColumnFormula>
    </tableColumn>
    <tableColumn id="5" xr3:uid="{B9FC9324-C240-41F2-AEFD-96FCC8639909}" name="変換効率" dataDxfId="21">
      <calculatedColumnFormula>MIN(1,パラメータ!$B$21*(1+パラメータ!$C$21)^(パラメータ!$D$21+INT((A4-1)/パラメータ!$E$21)))</calculatedColumnFormula>
    </tableColumn>
    <tableColumn id="6" xr3:uid="{305B4F33-2084-400A-995F-0A36CA6AE699}" name="衝撃E/発" dataDxfId="20">
      <calculatedColumnFormula>0.5*C4*D4^2*E4</calculatedColumnFormula>
    </tableColumn>
    <tableColumn id="7" xr3:uid="{49F9A8C1-FD97-487A-8FF6-83D6ADE84B5A}" name="発射レート" dataDxfId="19">
      <calculatedColumnFormula>パラメータ!$B$22*(1+パラメータ!$C$22)^(パラメータ!$D$22+INT((A4-1)/パラメータ!$E$22))</calculatedColumnFormula>
    </tableColumn>
    <tableColumn id="8" xr3:uid="{A3314E34-69BE-4A3F-8410-B00AB4E42758}" name="同時発射数" dataDxfId="18">
      <calculatedColumnFormula>パラメータ!$B$23+パラメータ!$C$23*(パラメータ!$D$23+INT((A4-1)/パラメータ!$E$23))</calculatedColumnFormula>
    </tableColumn>
    <tableColumn id="9" xr3:uid="{15322D44-E6E9-4879-8D76-2B40FFAE0AE0}" name="攻撃DPS" dataDxfId="17">
      <calculatedColumnFormula>F4*G4*H4</calculatedColumnFormula>
    </tableColumn>
    <tableColumn id="10" xr3:uid="{EFDC9B47-33BD-4F54-A027-563FD68C9B9B}" name="最大面積" dataDxfId="16">
      <calculatedColumnFormula>IF(B4="ボス",パラメータ!$B$13+パラメータ!$B$14,パラメータ!$B$12)</calculatedColumnFormula>
    </tableColumn>
    <tableColumn id="11" xr3:uid="{28E4FD50-AFCF-46CE-A51D-C010A447F194}" name="基礎抵抗" dataDxfId="15">
      <calculatedColumnFormula>パラメータ!$B$39</calculatedColumnFormula>
    </tableColumn>
    <tableColumn id="12" xr3:uid="{965EB5A5-904B-44D1-ADFD-77C2A0DA9AC4}" name="敵防御力" dataDxfId="14">
      <calculatedColumnFormula>K4*(1+パラメータ!$B$9)^(A4-1)*IF(B4="ボス",パラメータ!$B$10,1)</calculatedColumnFormula>
    </tableColumn>
    <tableColumn id="13" xr3:uid="{06AFC4DC-87E5-4D15-9768-9F28E7E2E844}" name="回復/秒" dataDxfId="13">
      <calculatedColumnFormula>IF(B4="ボス",L4*パラメータ!$B$11,0)</calculatedColumnFormula>
    </tableColumn>
    <tableColumn id="14" xr3:uid="{050F7514-FD9E-4109-B501-01A58E6DB4FC}" name="実効DPS" dataDxfId="12">
      <calculatedColumnFormula>MAX(0,I4-M4)</calculatedColumnFormula>
    </tableColumn>
    <tableColumn id="15" xr3:uid="{5441418C-3B6C-46C7-91C3-60E02F1AF424}" name="攻撃/防御" dataDxfId="11">
      <calculatedColumnFormula>F4/L4</calculatedColumnFormula>
    </tableColumn>
    <tableColumn id="16" xr3:uid="{88852326-493C-40D4-B3F9-5FC26F97CEA3}" name="必要破砕E" dataDxfId="10">
      <calculatedColumnFormula>J4*L4</calculatedColumnFormula>
    </tableColumn>
    <tableColumn id="17" xr3:uid="{A4A4C37A-26BB-456C-95C0-CB47658A8939}" name="推定破砕秒" dataDxfId="9">
      <calculatedColumnFormula>IF(N4&lt;=0,9999,P4/N4)</calculatedColumnFormula>
    </tableColumn>
    <tableColumn id="18" xr3:uid="{0A0B2988-6FC7-4FAE-B3B3-275D6F58F0FB}" name="推定必要弾数" dataDxfId="8">
      <calculatedColumnFormula>ROUNDUP(P4/MAX(F4,0.000001),0)</calculatedColumnFormula>
    </tableColumn>
    <tableColumn id="19" xr3:uid="{46ADB689-4C2E-48C0-9B65-81B2998487A4}" name="亀裂最大サイズ" dataDxfId="7">
      <calculatedColumnFormula>MIN(パラメータ!$B$38,パラメータ!$B$38*SQRT(MAX(0,F4/L4)))</calculatedColumnFormula>
    </tableColumn>
    <tableColumn id="20" xr3:uid="{51F53847-29E5-4DD8-A61B-BA37F292F23D}" name="破砕後縮小率" dataDxfId="6">
      <calculatedColumnFormula>パラメータ!$B$24*(1+パラメータ!$C$24)^(パラメータ!$D$24+INT((A4-1)/パラメータ!$E$24))</calculatedColumnFormula>
    </tableColumn>
    <tableColumn id="21" xr3:uid="{A25492DB-9F6A-459D-A82A-0316296BEC6C}" name="判定" dataDxfId="3">
      <calculatedColumnFormula>IF(O4&lt;パラメータ!$B$8,"リセット推奨","継続可能")</calculatedColumnFormula>
    </tableColumn>
    <tableColumn id="22" xr3:uid="{A38B6DDC-19EB-400E-8F7E-A8C24DF715F6}" name="ボス構成" dataDxfId="1">
      <calculatedColumnFormula>IF(B4="ボス","一般外殻＋回復コア","一般ガラス")</calculatedColumnFormula>
    </tableColumn>
    <tableColumn id="23" xr3:uid="{3E44ED04-5ADF-47CC-8BD0-26DFDBB9D6E8}" name="推定表面傷数" dataDxfId="2">
      <calculatedColumnFormula>ROUNDUP(J4/(パラメータ!$B$37^2),0)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"/>
  <sheetViews>
    <sheetView showGridLines="0" tabSelected="1" workbookViewId="0">
      <selection activeCell="B3" sqref="B3"/>
    </sheetView>
  </sheetViews>
  <sheetFormatPr defaultRowHeight="14.25"/>
  <cols>
    <col min="1" max="12" width="12.125" style="1" customWidth="1"/>
    <col min="13" max="13" width="9" style="1"/>
    <col min="14" max="20" width="0" style="1" hidden="1" customWidth="1"/>
    <col min="21" max="16384" width="9" style="1"/>
  </cols>
  <sheetData>
    <row r="1" spans="1:20" ht="27.95" customHeight="1">
      <c r="A1" s="2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1" t="s">
        <v>81</v>
      </c>
      <c r="O1" s="1" t="s">
        <v>56</v>
      </c>
      <c r="P1" s="1" t="s">
        <v>58</v>
      </c>
      <c r="Q1" s="1" t="s">
        <v>60</v>
      </c>
      <c r="R1" s="1" t="s">
        <v>63</v>
      </c>
      <c r="S1" s="1" t="s">
        <v>173</v>
      </c>
      <c r="T1" s="1" t="s">
        <v>66</v>
      </c>
    </row>
    <row r="2" spans="1:20" ht="27.9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1">
        <v>1</v>
      </c>
      <c r="O2" s="1">
        <f>パラメータ!$B$28*(1+パラメータ!$C$28)^(パラメータ!$D$28+INT((N2-1)/パラメータ!$E$28))</f>
        <v>100</v>
      </c>
      <c r="P2" s="1">
        <f>パラメータ!$B$29*(1+パラメータ!$C$29)^(パラメータ!$D$29+INT((N2-1)/パラメータ!$E$29))</f>
        <v>1</v>
      </c>
      <c r="Q2" s="1">
        <f>MAX(0.4,パラメータ!$B$30*(1+パラメータ!$C$30)^(パラメータ!$D$30+INT((N2-1)/パラメータ!$E$30)))</f>
        <v>1</v>
      </c>
      <c r="R2" s="1">
        <f>パラメータ!$B$31*(1+パラメータ!$C$31)^(パラメータ!$D$31+INT((N2-1)/パラメータ!$E$31))</f>
        <v>5</v>
      </c>
      <c r="S2" s="1">
        <f>パラメータ!$B$32*(1+パラメータ!$C$32)^(パラメータ!$D$32+INT((N2-1)/パラメータ!$E$32))</f>
        <v>2</v>
      </c>
      <c r="T2" s="1">
        <f>パラメータ!$B$33*(1+パラメータ!$C$33)^(パラメータ!$D$33+INT((N2-1)/パラメータ!$E$33))</f>
        <v>1</v>
      </c>
    </row>
    <row r="3" spans="1:20">
      <c r="A3" s="1" t="s">
        <v>167</v>
      </c>
      <c r="B3" s="42">
        <v>5</v>
      </c>
      <c r="D3" s="3" t="s">
        <v>168</v>
      </c>
      <c r="E3" s="4"/>
      <c r="F3" s="4"/>
      <c r="G3" s="4"/>
      <c r="H3" s="4"/>
      <c r="I3" s="4"/>
      <c r="J3" s="4"/>
      <c r="K3" s="4"/>
      <c r="L3" s="4"/>
      <c r="N3" s="1">
        <v>2</v>
      </c>
      <c r="O3" s="1">
        <f>パラメータ!$B$28*(1+パラメータ!$C$28)^(パラメータ!$D$28+INT((N3-1)/パラメータ!$E$28))</f>
        <v>100</v>
      </c>
      <c r="P3" s="1">
        <f>パラメータ!$B$29*(1+パラメータ!$C$29)^(パラメータ!$D$29+INT((N3-1)/パラメータ!$E$29))</f>
        <v>1</v>
      </c>
      <c r="Q3" s="1">
        <f>MAX(0.4,パラメータ!$B$30*(1+パラメータ!$C$30)^(パラメータ!$D$30+INT((N3-1)/パラメータ!$E$30)))</f>
        <v>1</v>
      </c>
      <c r="R3" s="1">
        <f>パラメータ!$B$31*(1+パラメータ!$C$31)^(パラメータ!$D$31+INT((N3-1)/パラメータ!$E$31))</f>
        <v>5</v>
      </c>
      <c r="S3" s="1">
        <f>パラメータ!$B$32*(1+パラメータ!$C$32)^(パラメータ!$D$32+INT((N3-1)/パラメータ!$E$32))</f>
        <v>2</v>
      </c>
      <c r="T3" s="1">
        <f>パラメータ!$B$33*(1+パラメータ!$C$33)^(パラメータ!$D$33+INT((N3-1)/パラメータ!$E$33))</f>
        <v>1</v>
      </c>
    </row>
    <row r="4" spans="1:20">
      <c r="N4" s="1">
        <v>3</v>
      </c>
      <c r="O4" s="1">
        <f>パラメータ!$B$28*(1+パラメータ!$C$28)^(パラメータ!$D$28+INT((N4-1)/パラメータ!$E$28))</f>
        <v>100</v>
      </c>
      <c r="P4" s="1">
        <f>パラメータ!$B$29*(1+パラメータ!$C$29)^(パラメータ!$D$29+INT((N4-1)/パラメータ!$E$29))</f>
        <v>1</v>
      </c>
      <c r="Q4" s="1">
        <f>MAX(0.4,パラメータ!$B$30*(1+パラメータ!$C$30)^(パラメータ!$D$30+INT((N4-1)/パラメータ!$E$30)))</f>
        <v>1</v>
      </c>
      <c r="R4" s="1">
        <f>パラメータ!$B$31*(1+パラメータ!$C$31)^(パラメータ!$D$31+INT((N4-1)/パラメータ!$E$31))</f>
        <v>5</v>
      </c>
      <c r="S4" s="1">
        <f>パラメータ!$B$32*(1+パラメータ!$C$32)^(パラメータ!$D$32+INT((N4-1)/パラメータ!$E$32))</f>
        <v>2</v>
      </c>
      <c r="T4" s="1">
        <f>パラメータ!$B$33*(1+パラメータ!$C$33)^(パラメータ!$D$33+INT((N4-1)/パラメータ!$E$33))</f>
        <v>1</v>
      </c>
    </row>
    <row r="5" spans="1:20">
      <c r="A5" s="43" t="s">
        <v>82</v>
      </c>
      <c r="B5" s="43"/>
      <c r="C5" s="43"/>
      <c r="D5" s="43" t="s">
        <v>153</v>
      </c>
      <c r="E5" s="43"/>
      <c r="F5" s="43"/>
      <c r="G5" s="43" t="s">
        <v>88</v>
      </c>
      <c r="H5" s="43"/>
      <c r="I5" s="43"/>
      <c r="J5" s="43" t="s">
        <v>169</v>
      </c>
      <c r="K5" s="43"/>
      <c r="L5" s="43"/>
      <c r="N5" s="1">
        <v>4</v>
      </c>
      <c r="O5" s="1">
        <f>パラメータ!$B$28*(1+パラメータ!$C$28)^(パラメータ!$D$28+INT((N5-1)/パラメータ!$E$28))</f>
        <v>108</v>
      </c>
      <c r="P5" s="1">
        <f>パラメータ!$B$29*(1+パラメータ!$C$29)^(パラメータ!$D$29+INT((N5-1)/パラメータ!$E$29))</f>
        <v>1</v>
      </c>
      <c r="Q5" s="1">
        <f>MAX(0.4,パラメータ!$B$30*(1+パラメータ!$C$30)^(パラメータ!$D$30+INT((N5-1)/パラメータ!$E$30)))</f>
        <v>1</v>
      </c>
      <c r="R5" s="1">
        <f>パラメータ!$B$31*(1+パラメータ!$C$31)^(パラメータ!$D$31+INT((N5-1)/パラメータ!$E$31))</f>
        <v>5.2</v>
      </c>
      <c r="S5" s="1">
        <f>パラメータ!$B$32*(1+パラメータ!$C$32)^(パラメータ!$D$32+INT((N5-1)/パラメータ!$E$32))</f>
        <v>2.16</v>
      </c>
      <c r="T5" s="1">
        <f>パラメータ!$B$33*(1+パラメータ!$C$33)^(パラメータ!$D$33+INT((N5-1)/パラメータ!$E$33))</f>
        <v>1</v>
      </c>
    </row>
    <row r="6" spans="1:20" ht="24" customHeight="1">
      <c r="A6" s="44" t="str">
        <f>INDEX(ステージ曲線!$B$4:$B$53,$B$3)</f>
        <v>ボス</v>
      </c>
      <c r="B6" s="44"/>
      <c r="C6" s="44"/>
      <c r="D6" s="45">
        <f>INDEX(ステージ曲線!$F$4:$F$53,$B$3)</f>
        <v>43.411729787412483</v>
      </c>
      <c r="E6" s="45"/>
      <c r="F6" s="45"/>
      <c r="G6" s="45">
        <f>INDEX(ステージ曲線!$L$4:$L$53,$B$3)</f>
        <v>10.863836159999998</v>
      </c>
      <c r="H6" s="45"/>
      <c r="I6" s="45"/>
      <c r="J6" s="44" t="str">
        <f>INDEX(ステージ曲線!$U$4:$U$53,$B$3)</f>
        <v>継続可能</v>
      </c>
      <c r="K6" s="44"/>
      <c r="L6" s="44"/>
      <c r="N6" s="1">
        <v>5</v>
      </c>
      <c r="O6" s="1">
        <f>パラメータ!$B$28*(1+パラメータ!$C$28)^(パラメータ!$D$28+INT((N6-1)/パラメータ!$E$28))</f>
        <v>108</v>
      </c>
      <c r="P6" s="1">
        <f>パラメータ!$B$29*(1+パラメータ!$C$29)^(パラメータ!$D$29+INT((N6-1)/パラメータ!$E$29))</f>
        <v>1.1000000000000001</v>
      </c>
      <c r="Q6" s="1">
        <f>MAX(0.4,パラメータ!$B$30*(1+パラメータ!$C$30)^(パラメータ!$D$30+INT((N6-1)/パラメータ!$E$30)))</f>
        <v>1</v>
      </c>
      <c r="R6" s="1">
        <f>パラメータ!$B$31*(1+パラメータ!$C$31)^(パラメータ!$D$31+INT((N6-1)/パラメータ!$E$31))</f>
        <v>5.2</v>
      </c>
      <c r="S6" s="1">
        <f>パラメータ!$B$32*(1+パラメータ!$C$32)^(パラメータ!$D$32+INT((N6-1)/パラメータ!$E$32))</f>
        <v>2.16</v>
      </c>
      <c r="T6" s="1">
        <f>パラメータ!$B$33*(1+パラメータ!$C$33)^(パラメータ!$D$33+INT((N6-1)/パラメータ!$E$33))</f>
        <v>1.05</v>
      </c>
    </row>
    <row r="7" spans="1:20" ht="24" customHeight="1">
      <c r="A7" s="44"/>
      <c r="B7" s="44"/>
      <c r="C7" s="44"/>
      <c r="D7" s="45"/>
      <c r="E7" s="45"/>
      <c r="F7" s="45"/>
      <c r="G7" s="45"/>
      <c r="H7" s="45"/>
      <c r="I7" s="45"/>
      <c r="J7" s="44"/>
      <c r="K7" s="44"/>
      <c r="L7" s="44"/>
      <c r="N7" s="1">
        <v>6</v>
      </c>
      <c r="O7" s="1">
        <f>パラメータ!$B$28*(1+パラメータ!$C$28)^(パラメータ!$D$28+INT((N7-1)/パラメータ!$E$28))</f>
        <v>108</v>
      </c>
      <c r="P7" s="1">
        <f>パラメータ!$B$29*(1+パラメータ!$C$29)^(パラメータ!$D$29+INT((N7-1)/パラメータ!$E$29))</f>
        <v>1.1000000000000001</v>
      </c>
      <c r="Q7" s="1">
        <f>MAX(0.4,パラメータ!$B$30*(1+パラメータ!$C$30)^(パラメータ!$D$30+INT((N7-1)/パラメータ!$E$30)))</f>
        <v>0.97</v>
      </c>
      <c r="R7" s="1">
        <f>パラメータ!$B$31*(1+パラメータ!$C$31)^(パラメータ!$D$31+INT((N7-1)/パラメータ!$E$31))</f>
        <v>5.2</v>
      </c>
      <c r="S7" s="1">
        <f>パラメータ!$B$32*(1+パラメータ!$C$32)^(パラメータ!$D$32+INT((N7-1)/パラメータ!$E$32))</f>
        <v>2.16</v>
      </c>
      <c r="T7" s="1">
        <f>パラメータ!$B$33*(1+パラメータ!$C$33)^(パラメータ!$D$33+INT((N7-1)/パラメータ!$E$33))</f>
        <v>1.05</v>
      </c>
    </row>
    <row r="8" spans="1:20" ht="24" customHeight="1">
      <c r="A8" s="44"/>
      <c r="B8" s="44"/>
      <c r="C8" s="44"/>
      <c r="D8" s="45"/>
      <c r="E8" s="45"/>
      <c r="F8" s="45"/>
      <c r="G8" s="45"/>
      <c r="H8" s="45"/>
      <c r="I8" s="45"/>
      <c r="J8" s="44"/>
      <c r="K8" s="44"/>
      <c r="L8" s="44"/>
      <c r="N8" s="1">
        <v>7</v>
      </c>
      <c r="O8" s="1">
        <f>パラメータ!$B$28*(1+パラメータ!$C$28)^(パラメータ!$D$28+INT((N8-1)/パラメータ!$E$28))</f>
        <v>116.64000000000001</v>
      </c>
      <c r="P8" s="1">
        <f>パラメータ!$B$29*(1+パラメータ!$C$29)^(パラメータ!$D$29+INT((N8-1)/パラメータ!$E$29))</f>
        <v>1.1000000000000001</v>
      </c>
      <c r="Q8" s="1">
        <f>MAX(0.4,パラメータ!$B$30*(1+パラメータ!$C$30)^(パラメータ!$D$30+INT((N8-1)/パラメータ!$E$30)))</f>
        <v>0.97</v>
      </c>
      <c r="R8" s="1">
        <f>パラメータ!$B$31*(1+パラメータ!$C$31)^(パラメータ!$D$31+INT((N8-1)/パラメータ!$E$31))</f>
        <v>5.4080000000000004</v>
      </c>
      <c r="S8" s="1">
        <f>パラメータ!$B$32*(1+パラメータ!$C$32)^(パラメータ!$D$32+INT((N8-1)/パラメータ!$E$32))</f>
        <v>2.3328000000000002</v>
      </c>
      <c r="T8" s="1">
        <f>パラメータ!$B$33*(1+パラメータ!$C$33)^(パラメータ!$D$33+INT((N8-1)/パラメータ!$E$33))</f>
        <v>1.05</v>
      </c>
    </row>
    <row r="9" spans="1:20">
      <c r="N9" s="1">
        <v>8</v>
      </c>
      <c r="O9" s="1">
        <f>パラメータ!$B$28*(1+パラメータ!$C$28)^(パラメータ!$D$28+INT((N9-1)/パラメータ!$E$28))</f>
        <v>116.64000000000001</v>
      </c>
      <c r="P9" s="1">
        <f>パラメータ!$B$29*(1+パラメータ!$C$29)^(パラメータ!$D$29+INT((N9-1)/パラメータ!$E$29))</f>
        <v>1.1000000000000001</v>
      </c>
      <c r="Q9" s="1">
        <f>MAX(0.4,パラメータ!$B$30*(1+パラメータ!$C$30)^(パラメータ!$D$30+INT((N9-1)/パラメータ!$E$30)))</f>
        <v>0.97</v>
      </c>
      <c r="R9" s="1">
        <f>パラメータ!$B$31*(1+パラメータ!$C$31)^(パラメータ!$D$31+INT((N9-1)/パラメータ!$E$31))</f>
        <v>5.4080000000000004</v>
      </c>
      <c r="S9" s="1">
        <f>パラメータ!$B$32*(1+パラメータ!$C$32)^(パラメータ!$D$32+INT((N9-1)/パラメータ!$E$32))</f>
        <v>2.3328000000000002</v>
      </c>
      <c r="T9" s="1">
        <f>パラメータ!$B$33*(1+パラメータ!$C$33)^(パラメータ!$D$33+INT((N9-1)/パラメータ!$E$33))</f>
        <v>1.05</v>
      </c>
    </row>
    <row r="10" spans="1:20">
      <c r="A10" s="43" t="s">
        <v>92</v>
      </c>
      <c r="B10" s="43"/>
      <c r="C10" s="43"/>
      <c r="D10" s="43" t="s">
        <v>93</v>
      </c>
      <c r="E10" s="43"/>
      <c r="F10" s="43"/>
      <c r="G10" s="43" t="s">
        <v>74</v>
      </c>
      <c r="H10" s="43"/>
      <c r="I10" s="43"/>
      <c r="J10" s="43" t="s">
        <v>170</v>
      </c>
      <c r="K10" s="43"/>
      <c r="L10" s="43"/>
      <c r="N10" s="1">
        <v>9</v>
      </c>
      <c r="O10" s="1">
        <f>パラメータ!$B$28*(1+パラメータ!$C$28)^(パラメータ!$D$28+INT((N10-1)/パラメータ!$E$28))</f>
        <v>116.64000000000001</v>
      </c>
      <c r="P10" s="1">
        <f>パラメータ!$B$29*(1+パラメータ!$C$29)^(パラメータ!$D$29+INT((N10-1)/パラメータ!$E$29))</f>
        <v>1.2100000000000002</v>
      </c>
      <c r="Q10" s="1">
        <f>MAX(0.4,パラメータ!$B$30*(1+パラメータ!$C$30)^(パラメータ!$D$30+INT((N10-1)/パラメータ!$E$30)))</f>
        <v>0.97</v>
      </c>
      <c r="R10" s="1">
        <f>パラメータ!$B$31*(1+パラメータ!$C$31)^(パラメータ!$D$31+INT((N10-1)/パラメータ!$E$31))</f>
        <v>5.4080000000000004</v>
      </c>
      <c r="S10" s="1">
        <f>パラメータ!$B$32*(1+パラメータ!$C$32)^(パラメータ!$D$32+INT((N10-1)/パラメータ!$E$32))</f>
        <v>2.3328000000000002</v>
      </c>
      <c r="T10" s="1">
        <f>パラメータ!$B$33*(1+パラメータ!$C$33)^(パラメータ!$D$33+INT((N10-1)/パラメータ!$E$33))</f>
        <v>1.1025</v>
      </c>
    </row>
    <row r="11" spans="1:20" ht="24" customHeight="1">
      <c r="A11" s="45">
        <f>INDEX(ステージ曲線!$Q$4:$Q$53,$B$3)</f>
        <v>1.6035764940981134</v>
      </c>
      <c r="B11" s="45"/>
      <c r="C11" s="45"/>
      <c r="D11" s="46">
        <f>INDEX(ステージ曲線!$R$4:$R$53,$B$3)</f>
        <v>7</v>
      </c>
      <c r="E11" s="46"/>
      <c r="F11" s="46"/>
      <c r="G11" s="45">
        <f>INDEX(ステージ曲線!$S$4:$S$53,$B$3)</f>
        <v>1.2</v>
      </c>
      <c r="H11" s="45"/>
      <c r="I11" s="45"/>
      <c r="J11" s="45">
        <f>INDEX(ステージ曲線!$J$4:$J$53,$B$3)</f>
        <v>27</v>
      </c>
      <c r="K11" s="45"/>
      <c r="L11" s="45"/>
      <c r="N11" s="1">
        <v>10</v>
      </c>
      <c r="O11" s="1">
        <f>パラメータ!$B$28*(1+パラメータ!$C$28)^(パラメータ!$D$28+INT((N11-1)/パラメータ!$E$28))</f>
        <v>125.97120000000001</v>
      </c>
      <c r="P11" s="1">
        <f>パラメータ!$B$29*(1+パラメータ!$C$29)^(パラメータ!$D$29+INT((N11-1)/パラメータ!$E$29))</f>
        <v>1.2100000000000002</v>
      </c>
      <c r="Q11" s="1">
        <f>MAX(0.4,パラメータ!$B$30*(1+パラメータ!$C$30)^(パラメータ!$D$30+INT((N11-1)/パラメータ!$E$30)))</f>
        <v>0.97</v>
      </c>
      <c r="R11" s="1">
        <f>パラメータ!$B$31*(1+パラメータ!$C$31)^(パラメータ!$D$31+INT((N11-1)/パラメータ!$E$31))</f>
        <v>5.6243200000000009</v>
      </c>
      <c r="S11" s="1">
        <f>パラメータ!$B$32*(1+パラメータ!$C$32)^(パラメータ!$D$32+INT((N11-1)/パラメータ!$E$32))</f>
        <v>2.5194240000000003</v>
      </c>
      <c r="T11" s="1">
        <f>パラメータ!$B$33*(1+パラメータ!$C$33)^(パラメータ!$D$33+INT((N11-1)/パラメータ!$E$33))</f>
        <v>1.1025</v>
      </c>
    </row>
    <row r="12" spans="1:20" ht="24" customHeight="1">
      <c r="A12" s="45"/>
      <c r="B12" s="45"/>
      <c r="C12" s="45"/>
      <c r="D12" s="46"/>
      <c r="E12" s="46"/>
      <c r="F12" s="46"/>
      <c r="G12" s="45"/>
      <c r="H12" s="45"/>
      <c r="I12" s="45"/>
      <c r="J12" s="45"/>
      <c r="K12" s="45"/>
      <c r="L12" s="45"/>
      <c r="N12" s="1">
        <v>11</v>
      </c>
      <c r="O12" s="1">
        <f>パラメータ!$B$28*(1+パラメータ!$C$28)^(パラメータ!$D$28+INT((N12-1)/パラメータ!$E$28))</f>
        <v>125.97120000000001</v>
      </c>
      <c r="P12" s="1">
        <f>パラメータ!$B$29*(1+パラメータ!$C$29)^(パラメータ!$D$29+INT((N12-1)/パラメータ!$E$29))</f>
        <v>1.2100000000000002</v>
      </c>
      <c r="Q12" s="1">
        <f>MAX(0.4,パラメータ!$B$30*(1+パラメータ!$C$30)^(パラメータ!$D$30+INT((N12-1)/パラメータ!$E$30)))</f>
        <v>0.94089999999999996</v>
      </c>
      <c r="R12" s="1">
        <f>パラメータ!$B$31*(1+パラメータ!$C$31)^(パラメータ!$D$31+INT((N12-1)/パラメータ!$E$31))</f>
        <v>5.6243200000000009</v>
      </c>
      <c r="S12" s="1">
        <f>パラメータ!$B$32*(1+パラメータ!$C$32)^(パラメータ!$D$32+INT((N12-1)/パラメータ!$E$32))</f>
        <v>2.5194240000000003</v>
      </c>
      <c r="T12" s="1">
        <f>パラメータ!$B$33*(1+パラメータ!$C$33)^(パラメータ!$D$33+INT((N12-1)/パラメータ!$E$33))</f>
        <v>1.1025</v>
      </c>
    </row>
    <row r="13" spans="1:20" ht="24" customHeight="1">
      <c r="A13" s="45"/>
      <c r="B13" s="45"/>
      <c r="C13" s="45"/>
      <c r="D13" s="46"/>
      <c r="E13" s="46"/>
      <c r="F13" s="46"/>
      <c r="G13" s="45"/>
      <c r="H13" s="45"/>
      <c r="I13" s="45"/>
      <c r="J13" s="45"/>
      <c r="K13" s="45"/>
      <c r="L13" s="45"/>
      <c r="N13" s="1">
        <v>12</v>
      </c>
      <c r="O13" s="1">
        <f>パラメータ!$B$28*(1+パラメータ!$C$28)^(パラメータ!$D$28+INT((N13-1)/パラメータ!$E$28))</f>
        <v>125.97120000000001</v>
      </c>
      <c r="P13" s="1">
        <f>パラメータ!$B$29*(1+パラメータ!$C$29)^(パラメータ!$D$29+INT((N13-1)/パラメータ!$E$29))</f>
        <v>1.2100000000000002</v>
      </c>
      <c r="Q13" s="1">
        <f>MAX(0.4,パラメータ!$B$30*(1+パラメータ!$C$30)^(パラメータ!$D$30+INT((N13-1)/パラメータ!$E$30)))</f>
        <v>0.94089999999999996</v>
      </c>
      <c r="R13" s="1">
        <f>パラメータ!$B$31*(1+パラメータ!$C$31)^(パラメータ!$D$31+INT((N13-1)/パラメータ!$E$31))</f>
        <v>5.6243200000000009</v>
      </c>
      <c r="S13" s="1">
        <f>パラメータ!$B$32*(1+パラメータ!$C$32)^(パラメータ!$D$32+INT((N13-1)/パラメータ!$E$32))</f>
        <v>2.5194240000000003</v>
      </c>
      <c r="T13" s="1">
        <f>パラメータ!$B$33*(1+パラメータ!$C$33)^(パラメータ!$D$33+INT((N13-1)/パラメータ!$E$33))</f>
        <v>1.1025</v>
      </c>
    </row>
    <row r="14" spans="1:20">
      <c r="N14" s="1">
        <v>13</v>
      </c>
      <c r="O14" s="1">
        <f>パラメータ!$B$28*(1+パラメータ!$C$28)^(パラメータ!$D$28+INT((N14-1)/パラメータ!$E$28))</f>
        <v>136.04889600000004</v>
      </c>
      <c r="P14" s="1">
        <f>パラメータ!$B$29*(1+パラメータ!$C$29)^(パラメータ!$D$29+INT((N14-1)/パラメータ!$E$29))</f>
        <v>1.3310000000000004</v>
      </c>
      <c r="Q14" s="1">
        <f>MAX(0.4,パラメータ!$B$30*(1+パラメータ!$C$30)^(パラメータ!$D$30+INT((N14-1)/パラメータ!$E$30)))</f>
        <v>0.94089999999999996</v>
      </c>
      <c r="R14" s="1">
        <f>パラメータ!$B$31*(1+パラメータ!$C$31)^(パラメータ!$D$31+INT((N14-1)/パラメータ!$E$31))</f>
        <v>5.8492928000000006</v>
      </c>
      <c r="S14" s="1">
        <f>パラメータ!$B$32*(1+パラメータ!$C$32)^(パラメータ!$D$32+INT((N14-1)/パラメータ!$E$32))</f>
        <v>2.7209779200000006</v>
      </c>
      <c r="T14" s="1">
        <f>パラメータ!$B$33*(1+パラメータ!$C$33)^(パラメータ!$D$33+INT((N14-1)/パラメータ!$E$33))</f>
        <v>1.1576250000000001</v>
      </c>
    </row>
    <row r="15" spans="1:20">
      <c r="N15" s="1">
        <v>14</v>
      </c>
      <c r="O15" s="1">
        <f>パラメータ!$B$28*(1+パラメータ!$C$28)^(パラメータ!$D$28+INT((N15-1)/パラメータ!$E$28))</f>
        <v>136.04889600000004</v>
      </c>
      <c r="P15" s="1">
        <f>パラメータ!$B$29*(1+パラメータ!$C$29)^(パラメータ!$D$29+INT((N15-1)/パラメータ!$E$29))</f>
        <v>1.3310000000000004</v>
      </c>
      <c r="Q15" s="1">
        <f>MAX(0.4,パラメータ!$B$30*(1+パラメータ!$C$30)^(パラメータ!$D$30+INT((N15-1)/パラメータ!$E$30)))</f>
        <v>0.94089999999999996</v>
      </c>
      <c r="R15" s="1">
        <f>パラメータ!$B$31*(1+パラメータ!$C$31)^(パラメータ!$D$31+INT((N15-1)/パラメータ!$E$31))</f>
        <v>5.8492928000000006</v>
      </c>
      <c r="S15" s="1">
        <f>パラメータ!$B$32*(1+パラメータ!$C$32)^(パラメータ!$D$32+INT((N15-1)/パラメータ!$E$32))</f>
        <v>2.7209779200000006</v>
      </c>
      <c r="T15" s="1">
        <f>パラメータ!$B$33*(1+パラメータ!$C$33)^(パラメータ!$D$33+INT((N15-1)/パラメータ!$E$33))</f>
        <v>1.1576250000000001</v>
      </c>
    </row>
    <row r="16" spans="1:20">
      <c r="N16" s="1">
        <v>15</v>
      </c>
      <c r="O16" s="1">
        <f>パラメータ!$B$28*(1+パラメータ!$C$28)^(パラメータ!$D$28+INT((N16-1)/パラメータ!$E$28))</f>
        <v>136.04889600000004</v>
      </c>
      <c r="P16" s="1">
        <f>パラメータ!$B$29*(1+パラメータ!$C$29)^(パラメータ!$D$29+INT((N16-1)/パラメータ!$E$29))</f>
        <v>1.3310000000000004</v>
      </c>
      <c r="Q16" s="1">
        <f>MAX(0.4,パラメータ!$B$30*(1+パラメータ!$C$30)^(パラメータ!$D$30+INT((N16-1)/パラメータ!$E$30)))</f>
        <v>0.94089999999999996</v>
      </c>
      <c r="R16" s="1">
        <f>パラメータ!$B$31*(1+パラメータ!$C$31)^(パラメータ!$D$31+INT((N16-1)/パラメータ!$E$31))</f>
        <v>5.8492928000000006</v>
      </c>
      <c r="S16" s="1">
        <f>パラメータ!$B$32*(1+パラメータ!$C$32)^(パラメータ!$D$32+INT((N16-1)/パラメータ!$E$32))</f>
        <v>2.7209779200000006</v>
      </c>
      <c r="T16" s="1">
        <f>パラメータ!$B$33*(1+パラメータ!$C$33)^(パラメータ!$D$33+INT((N16-1)/パラメータ!$E$33))</f>
        <v>1.1576250000000001</v>
      </c>
    </row>
    <row r="17" spans="7:20">
      <c r="N17" s="1">
        <v>16</v>
      </c>
      <c r="O17" s="1">
        <f>パラメータ!$B$28*(1+パラメータ!$C$28)^(パラメータ!$D$28+INT((N17-1)/パラメータ!$E$28))</f>
        <v>146.93280768000002</v>
      </c>
      <c r="P17" s="1">
        <f>パラメータ!$B$29*(1+パラメータ!$C$29)^(パラメータ!$D$29+INT((N17-1)/パラメータ!$E$29))</f>
        <v>1.3310000000000004</v>
      </c>
      <c r="Q17" s="1">
        <f>MAX(0.4,パラメータ!$B$30*(1+パラメータ!$C$30)^(パラメータ!$D$30+INT((N17-1)/パラメータ!$E$30)))</f>
        <v>0.91267299999999996</v>
      </c>
      <c r="R17" s="1">
        <f>パラメータ!$B$31*(1+パラメータ!$C$31)^(パラメータ!$D$31+INT((N17-1)/パラメータ!$E$31))</f>
        <v>6.0832645120000013</v>
      </c>
      <c r="S17" s="1">
        <f>パラメータ!$B$32*(1+パラメータ!$C$32)^(パラメータ!$D$32+INT((N17-1)/パラメータ!$E$32))</f>
        <v>2.9386561536000007</v>
      </c>
      <c r="T17" s="1">
        <f>パラメータ!$B$33*(1+パラメータ!$C$33)^(パラメータ!$D$33+INT((N17-1)/パラメータ!$E$33))</f>
        <v>1.1576250000000001</v>
      </c>
    </row>
    <row r="18" spans="7:20">
      <c r="N18" s="1">
        <v>17</v>
      </c>
      <c r="O18" s="1">
        <f>パラメータ!$B$28*(1+パラメータ!$C$28)^(パラメータ!$D$28+INT((N18-1)/パラメータ!$E$28))</f>
        <v>146.93280768000002</v>
      </c>
      <c r="P18" s="1">
        <f>パラメータ!$B$29*(1+パラメータ!$C$29)^(パラメータ!$D$29+INT((N18-1)/パラメータ!$E$29))</f>
        <v>1.4641000000000004</v>
      </c>
      <c r="Q18" s="1">
        <f>MAX(0.4,パラメータ!$B$30*(1+パラメータ!$C$30)^(パラメータ!$D$30+INT((N18-1)/パラメータ!$E$30)))</f>
        <v>0.91267299999999996</v>
      </c>
      <c r="R18" s="1">
        <f>パラメータ!$B$31*(1+パラメータ!$C$31)^(パラメータ!$D$31+INT((N18-1)/パラメータ!$E$31))</f>
        <v>6.0832645120000013</v>
      </c>
      <c r="S18" s="1">
        <f>パラメータ!$B$32*(1+パラメータ!$C$32)^(パラメータ!$D$32+INT((N18-1)/パラメータ!$E$32))</f>
        <v>2.9386561536000007</v>
      </c>
      <c r="T18" s="1">
        <f>パラメータ!$B$33*(1+パラメータ!$C$33)^(パラメータ!$D$33+INT((N18-1)/パラメータ!$E$33))</f>
        <v>1.21550625</v>
      </c>
    </row>
    <row r="19" spans="7:20">
      <c r="N19" s="1">
        <v>18</v>
      </c>
      <c r="O19" s="1">
        <f>パラメータ!$B$28*(1+パラメータ!$C$28)^(パラメータ!$D$28+INT((N19-1)/パラメータ!$E$28))</f>
        <v>146.93280768000002</v>
      </c>
      <c r="P19" s="1">
        <f>パラメータ!$B$29*(1+パラメータ!$C$29)^(パラメータ!$D$29+INT((N19-1)/パラメータ!$E$29))</f>
        <v>1.4641000000000004</v>
      </c>
      <c r="Q19" s="1">
        <f>MAX(0.4,パラメータ!$B$30*(1+パラメータ!$C$30)^(パラメータ!$D$30+INT((N19-1)/パラメータ!$E$30)))</f>
        <v>0.91267299999999996</v>
      </c>
      <c r="R19" s="1">
        <f>パラメータ!$B$31*(1+パラメータ!$C$31)^(パラメータ!$D$31+INT((N19-1)/パラメータ!$E$31))</f>
        <v>6.0832645120000013</v>
      </c>
      <c r="S19" s="1">
        <f>パラメータ!$B$32*(1+パラメータ!$C$32)^(パラメータ!$D$32+INT((N19-1)/パラメータ!$E$32))</f>
        <v>2.9386561536000007</v>
      </c>
      <c r="T19" s="1">
        <f>パラメータ!$B$33*(1+パラメータ!$C$33)^(パラメータ!$D$33+INT((N19-1)/パラメータ!$E$33))</f>
        <v>1.21550625</v>
      </c>
    </row>
    <row r="20" spans="7:20">
      <c r="N20" s="1">
        <v>19</v>
      </c>
      <c r="O20" s="1">
        <f>パラメータ!$B$28*(1+パラメータ!$C$28)^(パラメータ!$D$28+INT((N20-1)/パラメータ!$E$28))</f>
        <v>158.68743229440005</v>
      </c>
      <c r="P20" s="1">
        <f>パラメータ!$B$29*(1+パラメータ!$C$29)^(パラメータ!$D$29+INT((N20-1)/パラメータ!$E$29))</f>
        <v>1.4641000000000004</v>
      </c>
      <c r="Q20" s="1">
        <f>MAX(0.4,パラメータ!$B$30*(1+パラメータ!$C$30)^(パラメータ!$D$30+INT((N20-1)/パラメータ!$E$30)))</f>
        <v>0.91267299999999996</v>
      </c>
      <c r="R20" s="1">
        <f>パラメータ!$B$31*(1+パラメータ!$C$31)^(パラメータ!$D$31+INT((N20-1)/パラメータ!$E$31))</f>
        <v>6.3265950924800016</v>
      </c>
      <c r="S20" s="1">
        <f>パラメータ!$B$32*(1+パラメータ!$C$32)^(パラメータ!$D$32+INT((N20-1)/パラメータ!$E$32))</f>
        <v>3.1737486458880011</v>
      </c>
      <c r="T20" s="1">
        <f>パラメータ!$B$33*(1+パラメータ!$C$33)^(パラメータ!$D$33+INT((N20-1)/パラメータ!$E$33))</f>
        <v>1.21550625</v>
      </c>
    </row>
    <row r="21" spans="7:20">
      <c r="N21" s="1">
        <v>20</v>
      </c>
      <c r="O21" s="1">
        <f>パラメータ!$B$28*(1+パラメータ!$C$28)^(パラメータ!$D$28+INT((N21-1)/パラメータ!$E$28))</f>
        <v>158.68743229440005</v>
      </c>
      <c r="P21" s="1">
        <f>パラメータ!$B$29*(1+パラメータ!$C$29)^(パラメータ!$D$29+INT((N21-1)/パラメータ!$E$29))</f>
        <v>1.4641000000000004</v>
      </c>
      <c r="Q21" s="1">
        <f>MAX(0.4,パラメータ!$B$30*(1+パラメータ!$C$30)^(パラメータ!$D$30+INT((N21-1)/パラメータ!$E$30)))</f>
        <v>0.91267299999999996</v>
      </c>
      <c r="R21" s="1">
        <f>パラメータ!$B$31*(1+パラメータ!$C$31)^(パラメータ!$D$31+INT((N21-1)/パラメータ!$E$31))</f>
        <v>6.3265950924800016</v>
      </c>
      <c r="S21" s="1">
        <f>パラメータ!$B$32*(1+パラメータ!$C$32)^(パラメータ!$D$32+INT((N21-1)/パラメータ!$E$32))</f>
        <v>3.1737486458880011</v>
      </c>
      <c r="T21" s="1">
        <f>パラメータ!$B$33*(1+パラメータ!$C$33)^(パラメータ!$D$33+INT((N21-1)/パラメータ!$E$33))</f>
        <v>1.21550625</v>
      </c>
    </row>
    <row r="22" spans="7:20">
      <c r="N22" s="1">
        <v>21</v>
      </c>
      <c r="O22" s="1">
        <f>パラメータ!$B$28*(1+パラメータ!$C$28)^(パラメータ!$D$28+INT((N22-1)/パラメータ!$E$28))</f>
        <v>158.68743229440005</v>
      </c>
      <c r="P22" s="1">
        <f>パラメータ!$B$29*(1+パラメータ!$C$29)^(パラメータ!$D$29+INT((N22-1)/パラメータ!$E$29))</f>
        <v>1.6105100000000006</v>
      </c>
      <c r="Q22" s="1">
        <f>MAX(0.4,パラメータ!$B$30*(1+パラメータ!$C$30)^(パラメータ!$D$30+INT((N22-1)/パラメータ!$E$30)))</f>
        <v>0.88529280999999993</v>
      </c>
      <c r="R22" s="1">
        <f>パラメータ!$B$31*(1+パラメータ!$C$31)^(パラメータ!$D$31+INT((N22-1)/パラメータ!$E$31))</f>
        <v>6.3265950924800016</v>
      </c>
      <c r="S22" s="1">
        <f>パラメータ!$B$32*(1+パラメータ!$C$32)^(パラメータ!$D$32+INT((N22-1)/パラメータ!$E$32))</f>
        <v>3.1737486458880011</v>
      </c>
      <c r="T22" s="1">
        <f>パラメータ!$B$33*(1+パラメータ!$C$33)^(パラメータ!$D$33+INT((N22-1)/パラメータ!$E$33))</f>
        <v>1.2762815625000001</v>
      </c>
    </row>
    <row r="23" spans="7:20">
      <c r="N23" s="1">
        <v>22</v>
      </c>
      <c r="O23" s="1">
        <f>パラメータ!$B$28*(1+パラメータ!$C$28)^(パラメータ!$D$28+INT((N23-1)/パラメータ!$E$28))</f>
        <v>171.38242687795207</v>
      </c>
      <c r="P23" s="1">
        <f>パラメータ!$B$29*(1+パラメータ!$C$29)^(パラメータ!$D$29+INT((N23-1)/パラメータ!$E$29))</f>
        <v>1.6105100000000006</v>
      </c>
      <c r="Q23" s="1">
        <f>MAX(0.4,パラメータ!$B$30*(1+パラメータ!$C$30)^(パラメータ!$D$30+INT((N23-1)/パラメータ!$E$30)))</f>
        <v>0.88529280999999993</v>
      </c>
      <c r="R23" s="1">
        <f>パラメータ!$B$31*(1+パラメータ!$C$31)^(パラメータ!$D$31+INT((N23-1)/パラメータ!$E$31))</f>
        <v>6.5796588961792013</v>
      </c>
      <c r="S23" s="1">
        <f>パラメータ!$B$32*(1+パラメータ!$C$32)^(パラメータ!$D$32+INT((N23-1)/パラメータ!$E$32))</f>
        <v>3.4276485375590413</v>
      </c>
      <c r="T23" s="1">
        <f>パラメータ!$B$33*(1+パラメータ!$C$33)^(パラメータ!$D$33+INT((N23-1)/パラメータ!$E$33))</f>
        <v>1.2762815625000001</v>
      </c>
    </row>
    <row r="24" spans="7:20">
      <c r="N24" s="1">
        <v>23</v>
      </c>
      <c r="O24" s="1">
        <f>パラメータ!$B$28*(1+パラメータ!$C$28)^(パラメータ!$D$28+INT((N24-1)/パラメータ!$E$28))</f>
        <v>171.38242687795207</v>
      </c>
      <c r="P24" s="1">
        <f>パラメータ!$B$29*(1+パラメータ!$C$29)^(パラメータ!$D$29+INT((N24-1)/パラメータ!$E$29))</f>
        <v>1.6105100000000006</v>
      </c>
      <c r="Q24" s="1">
        <f>MAX(0.4,パラメータ!$B$30*(1+パラメータ!$C$30)^(パラメータ!$D$30+INT((N24-1)/パラメータ!$E$30)))</f>
        <v>0.88529280999999993</v>
      </c>
      <c r="R24" s="1">
        <f>パラメータ!$B$31*(1+パラメータ!$C$31)^(パラメータ!$D$31+INT((N24-1)/パラメータ!$E$31))</f>
        <v>6.5796588961792013</v>
      </c>
      <c r="S24" s="1">
        <f>パラメータ!$B$32*(1+パラメータ!$C$32)^(パラメータ!$D$32+INT((N24-1)/パラメータ!$E$32))</f>
        <v>3.4276485375590413</v>
      </c>
      <c r="T24" s="1">
        <f>パラメータ!$B$33*(1+パラメータ!$C$33)^(パラメータ!$D$33+INT((N24-1)/パラメータ!$E$33))</f>
        <v>1.2762815625000001</v>
      </c>
    </row>
    <row r="25" spans="7:20">
      <c r="N25" s="1">
        <v>24</v>
      </c>
      <c r="O25" s="1">
        <f>パラメータ!$B$28*(1+パラメータ!$C$28)^(パラメータ!$D$28+INT((N25-1)/パラメータ!$E$28))</f>
        <v>171.38242687795207</v>
      </c>
      <c r="P25" s="1">
        <f>パラメータ!$B$29*(1+パラメータ!$C$29)^(パラメータ!$D$29+INT((N25-1)/パラメータ!$E$29))</f>
        <v>1.6105100000000006</v>
      </c>
      <c r="Q25" s="1">
        <f>MAX(0.4,パラメータ!$B$30*(1+パラメータ!$C$30)^(パラメータ!$D$30+INT((N25-1)/パラメータ!$E$30)))</f>
        <v>0.88529280999999993</v>
      </c>
      <c r="R25" s="1">
        <f>パラメータ!$B$31*(1+パラメータ!$C$31)^(パラメータ!$D$31+INT((N25-1)/パラメータ!$E$31))</f>
        <v>6.5796588961792013</v>
      </c>
      <c r="S25" s="1">
        <f>パラメータ!$B$32*(1+パラメータ!$C$32)^(パラメータ!$D$32+INT((N25-1)/パラメータ!$E$32))</f>
        <v>3.4276485375590413</v>
      </c>
      <c r="T25" s="1">
        <f>パラメータ!$B$33*(1+パラメータ!$C$33)^(パラメータ!$D$33+INT((N25-1)/パラメータ!$E$33))</f>
        <v>1.2762815625000001</v>
      </c>
    </row>
    <row r="26" spans="7:20">
      <c r="N26" s="1">
        <v>25</v>
      </c>
      <c r="O26" s="1">
        <f>パラメータ!$B$28*(1+パラメータ!$C$28)^(パラメータ!$D$28+INT((N26-1)/パラメータ!$E$28))</f>
        <v>185.09302102818822</v>
      </c>
      <c r="P26" s="1">
        <f>パラメータ!$B$29*(1+パラメータ!$C$29)^(パラメータ!$D$29+INT((N26-1)/パラメータ!$E$29))</f>
        <v>1.7715610000000008</v>
      </c>
      <c r="Q26" s="1">
        <f>MAX(0.4,パラメータ!$B$30*(1+パラメータ!$C$30)^(パラメータ!$D$30+INT((N26-1)/パラメータ!$E$30)))</f>
        <v>0.88529280999999993</v>
      </c>
      <c r="R26" s="1">
        <f>パラメータ!$B$31*(1+パラメータ!$C$31)^(パラメータ!$D$31+INT((N26-1)/パラメータ!$E$31))</f>
        <v>6.8428452520263701</v>
      </c>
      <c r="S26" s="1">
        <f>パラメータ!$B$32*(1+パラメータ!$C$32)^(パラメータ!$D$32+INT((N26-1)/パラメータ!$E$32))</f>
        <v>3.7018604205637646</v>
      </c>
      <c r="T26" s="1">
        <f>パラメータ!$B$33*(1+パラメータ!$C$33)^(パラメータ!$D$33+INT((N26-1)/パラメータ!$E$33))</f>
        <v>1.340095640625</v>
      </c>
    </row>
    <row r="27" spans="7:20">
      <c r="N27" s="1">
        <v>26</v>
      </c>
      <c r="O27" s="1">
        <f>パラメータ!$B$28*(1+パラメータ!$C$28)^(パラメータ!$D$28+INT((N27-1)/パラメータ!$E$28))</f>
        <v>185.09302102818822</v>
      </c>
      <c r="P27" s="1">
        <f>パラメータ!$B$29*(1+パラメータ!$C$29)^(パラメータ!$D$29+INT((N27-1)/パラメータ!$E$29))</f>
        <v>1.7715610000000008</v>
      </c>
      <c r="Q27" s="1">
        <f>MAX(0.4,パラメータ!$B$30*(1+パラメータ!$C$30)^(パラメータ!$D$30+INT((N27-1)/パラメータ!$E$30)))</f>
        <v>0.8587340256999999</v>
      </c>
      <c r="R27" s="1">
        <f>パラメータ!$B$31*(1+パラメータ!$C$31)^(パラメータ!$D$31+INT((N27-1)/パラメータ!$E$31))</f>
        <v>6.8428452520263701</v>
      </c>
      <c r="S27" s="1">
        <f>パラメータ!$B$32*(1+パラメータ!$C$32)^(パラメータ!$D$32+INT((N27-1)/パラメータ!$E$32))</f>
        <v>3.7018604205637646</v>
      </c>
      <c r="T27" s="1">
        <f>パラメータ!$B$33*(1+パラメータ!$C$33)^(パラメータ!$D$33+INT((N27-1)/パラメータ!$E$33))</f>
        <v>1.340095640625</v>
      </c>
    </row>
    <row r="28" spans="7:20">
      <c r="N28" s="1">
        <v>27</v>
      </c>
      <c r="O28" s="1">
        <f>パラメータ!$B$28*(1+パラメータ!$C$28)^(パラメータ!$D$28+INT((N28-1)/パラメータ!$E$28))</f>
        <v>185.09302102818822</v>
      </c>
      <c r="P28" s="1">
        <f>パラメータ!$B$29*(1+パラメータ!$C$29)^(パラメータ!$D$29+INT((N28-1)/パラメータ!$E$29))</f>
        <v>1.7715610000000008</v>
      </c>
      <c r="Q28" s="1">
        <f>MAX(0.4,パラメータ!$B$30*(1+パラメータ!$C$30)^(パラメータ!$D$30+INT((N28-1)/パラメータ!$E$30)))</f>
        <v>0.8587340256999999</v>
      </c>
      <c r="R28" s="1">
        <f>パラメータ!$B$31*(1+パラメータ!$C$31)^(パラメータ!$D$31+INT((N28-1)/パラメータ!$E$31))</f>
        <v>6.8428452520263701</v>
      </c>
      <c r="S28" s="1">
        <f>パラメータ!$B$32*(1+パラメータ!$C$32)^(パラメータ!$D$32+INT((N28-1)/パラメータ!$E$32))</f>
        <v>3.7018604205637646</v>
      </c>
      <c r="T28" s="1">
        <f>パラメータ!$B$33*(1+パラメータ!$C$33)^(パラメータ!$D$33+INT((N28-1)/パラメータ!$E$33))</f>
        <v>1.340095640625</v>
      </c>
    </row>
    <row r="29" spans="7:20">
      <c r="N29" s="1">
        <v>28</v>
      </c>
      <c r="O29" s="1">
        <f>パラメータ!$B$28*(1+パラメータ!$C$28)^(パラメータ!$D$28+INT((N29-1)/パラメータ!$E$28))</f>
        <v>199.90046271044329</v>
      </c>
      <c r="P29" s="1">
        <f>パラメータ!$B$29*(1+パラメータ!$C$29)^(パラメータ!$D$29+INT((N29-1)/パラメータ!$E$29))</f>
        <v>1.7715610000000008</v>
      </c>
      <c r="Q29" s="1">
        <f>MAX(0.4,パラメータ!$B$30*(1+パラメータ!$C$30)^(パラメータ!$D$30+INT((N29-1)/パラメータ!$E$30)))</f>
        <v>0.8587340256999999</v>
      </c>
      <c r="R29" s="1">
        <f>パラメータ!$B$31*(1+パラメータ!$C$31)^(パラメータ!$D$31+INT((N29-1)/パラメータ!$E$31))</f>
        <v>7.1165590621074255</v>
      </c>
      <c r="S29" s="1">
        <f>パラメータ!$B$32*(1+パラメータ!$C$32)^(パラメータ!$D$32+INT((N29-1)/パラメータ!$E$32))</f>
        <v>3.9980092542088661</v>
      </c>
      <c r="T29" s="1">
        <f>パラメータ!$B$33*(1+パラメータ!$C$33)^(パラメータ!$D$33+INT((N29-1)/パラメータ!$E$33))</f>
        <v>1.340095640625</v>
      </c>
    </row>
    <row r="30" spans="7:20">
      <c r="N30" s="1">
        <v>29</v>
      </c>
      <c r="O30" s="1">
        <f>パラメータ!$B$28*(1+パラメータ!$C$28)^(パラメータ!$D$28+INT((N30-1)/パラメータ!$E$28))</f>
        <v>199.90046271044329</v>
      </c>
      <c r="P30" s="1">
        <f>パラメータ!$B$29*(1+パラメータ!$C$29)^(パラメータ!$D$29+INT((N30-1)/パラメータ!$E$29))</f>
        <v>1.9487171000000012</v>
      </c>
      <c r="Q30" s="1">
        <f>MAX(0.4,パラメータ!$B$30*(1+パラメータ!$C$30)^(パラメータ!$D$30+INT((N30-1)/パラメータ!$E$30)))</f>
        <v>0.8587340256999999</v>
      </c>
      <c r="R30" s="1">
        <f>パラメータ!$B$31*(1+パラメータ!$C$31)^(パラメータ!$D$31+INT((N30-1)/パラメータ!$E$31))</f>
        <v>7.1165590621074255</v>
      </c>
      <c r="S30" s="1">
        <f>パラメータ!$B$32*(1+パラメータ!$C$32)^(パラメータ!$D$32+INT((N30-1)/パラメータ!$E$32))</f>
        <v>3.9980092542088661</v>
      </c>
      <c r="T30" s="1">
        <f>パラメータ!$B$33*(1+パラメータ!$C$33)^(パラメータ!$D$33+INT((N30-1)/パラメータ!$E$33))</f>
        <v>1.4071004226562502</v>
      </c>
    </row>
    <row r="31" spans="7:20">
      <c r="G31" s="47" t="s">
        <v>171</v>
      </c>
      <c r="H31" s="48"/>
      <c r="I31" s="48"/>
      <c r="J31" s="48"/>
      <c r="K31" s="48"/>
      <c r="L31" s="48"/>
      <c r="N31" s="1">
        <v>30</v>
      </c>
      <c r="O31" s="1">
        <f>パラメータ!$B$28*(1+パラメータ!$C$28)^(パラメータ!$D$28+INT((N31-1)/パラメータ!$E$28))</f>
        <v>199.90046271044329</v>
      </c>
      <c r="P31" s="1">
        <f>パラメータ!$B$29*(1+パラメータ!$C$29)^(パラメータ!$D$29+INT((N31-1)/パラメータ!$E$29))</f>
        <v>1.9487171000000012</v>
      </c>
      <c r="Q31" s="1">
        <f>MAX(0.4,パラメータ!$B$30*(1+パラメータ!$C$30)^(パラメータ!$D$30+INT((N31-1)/パラメータ!$E$30)))</f>
        <v>0.8587340256999999</v>
      </c>
      <c r="R31" s="1">
        <f>パラメータ!$B$31*(1+パラメータ!$C$31)^(パラメータ!$D$31+INT((N31-1)/パラメータ!$E$31))</f>
        <v>7.1165590621074255</v>
      </c>
      <c r="S31" s="1">
        <f>パラメータ!$B$32*(1+パラメータ!$C$32)^(パラメータ!$D$32+INT((N31-1)/パラメータ!$E$32))</f>
        <v>3.9980092542088661</v>
      </c>
      <c r="T31" s="1">
        <f>パラメータ!$B$33*(1+パラメータ!$C$33)^(パラメータ!$D$33+INT((N31-1)/パラメータ!$E$33))</f>
        <v>1.4071004226562502</v>
      </c>
    </row>
    <row r="32" spans="7:20">
      <c r="G32" s="49" t="s">
        <v>172</v>
      </c>
      <c r="H32" s="50"/>
      <c r="I32" s="50"/>
      <c r="J32" s="50"/>
      <c r="K32" s="50"/>
      <c r="L32" s="50"/>
      <c r="N32" s="1">
        <v>31</v>
      </c>
      <c r="O32" s="1">
        <f>パラメータ!$B$28*(1+パラメータ!$C$28)^(パラメータ!$D$28+INT((N32-1)/パラメータ!$E$28))</f>
        <v>215.89249972727879</v>
      </c>
      <c r="P32" s="1">
        <f>パラメータ!$B$29*(1+パラメータ!$C$29)^(パラメータ!$D$29+INT((N32-1)/パラメータ!$E$29))</f>
        <v>1.9487171000000012</v>
      </c>
      <c r="Q32" s="1">
        <f>MAX(0.4,パラメータ!$B$30*(1+パラメータ!$C$30)^(パラメータ!$D$30+INT((N32-1)/パラメータ!$E$30)))</f>
        <v>0.83297200492899992</v>
      </c>
      <c r="R32" s="1">
        <f>パラメータ!$B$31*(1+パラメータ!$C$31)^(パラメータ!$D$31+INT((N32-1)/パラメータ!$E$31))</f>
        <v>7.4012214245917232</v>
      </c>
      <c r="S32" s="1">
        <f>パラメータ!$B$32*(1+パラメータ!$C$32)^(パラメータ!$D$32+INT((N32-1)/パラメータ!$E$32))</f>
        <v>4.3178499945455755</v>
      </c>
      <c r="T32" s="1">
        <f>パラメータ!$B$33*(1+パラメータ!$C$33)^(パラメータ!$D$33+INT((N32-1)/パラメータ!$E$33))</f>
        <v>1.4071004226562502</v>
      </c>
    </row>
    <row r="33" spans="7:20">
      <c r="G33" s="50"/>
      <c r="H33" s="50"/>
      <c r="I33" s="50"/>
      <c r="J33" s="50"/>
      <c r="K33" s="50"/>
      <c r="L33" s="50"/>
      <c r="N33" s="1">
        <v>32</v>
      </c>
      <c r="O33" s="1">
        <f>パラメータ!$B$28*(1+パラメータ!$C$28)^(パラメータ!$D$28+INT((N33-1)/パラメータ!$E$28))</f>
        <v>215.89249972727879</v>
      </c>
      <c r="P33" s="1">
        <f>パラメータ!$B$29*(1+パラメータ!$C$29)^(パラメータ!$D$29+INT((N33-1)/パラメータ!$E$29))</f>
        <v>1.9487171000000012</v>
      </c>
      <c r="Q33" s="1">
        <f>MAX(0.4,パラメータ!$B$30*(1+パラメータ!$C$30)^(パラメータ!$D$30+INT((N33-1)/パラメータ!$E$30)))</f>
        <v>0.83297200492899992</v>
      </c>
      <c r="R33" s="1">
        <f>パラメータ!$B$31*(1+パラメータ!$C$31)^(パラメータ!$D$31+INT((N33-1)/パラメータ!$E$31))</f>
        <v>7.4012214245917232</v>
      </c>
      <c r="S33" s="1">
        <f>パラメータ!$B$32*(1+パラメータ!$C$32)^(パラメータ!$D$32+INT((N33-1)/パラメータ!$E$32))</f>
        <v>4.3178499945455755</v>
      </c>
      <c r="T33" s="1">
        <f>パラメータ!$B$33*(1+パラメータ!$C$33)^(パラメータ!$D$33+INT((N33-1)/パラメータ!$E$33))</f>
        <v>1.4071004226562502</v>
      </c>
    </row>
    <row r="34" spans="7:20">
      <c r="G34" s="50"/>
      <c r="H34" s="50"/>
      <c r="I34" s="50"/>
      <c r="J34" s="50"/>
      <c r="K34" s="50"/>
      <c r="L34" s="50"/>
      <c r="N34" s="1">
        <v>33</v>
      </c>
      <c r="O34" s="1">
        <f>パラメータ!$B$28*(1+パラメータ!$C$28)^(パラメータ!$D$28+INT((N34-1)/パラメータ!$E$28))</f>
        <v>215.89249972727879</v>
      </c>
      <c r="P34" s="1">
        <f>パラメータ!$B$29*(1+パラメータ!$C$29)^(パラメータ!$D$29+INT((N34-1)/パラメータ!$E$29))</f>
        <v>2.1435888100000011</v>
      </c>
      <c r="Q34" s="1">
        <f>MAX(0.4,パラメータ!$B$30*(1+パラメータ!$C$30)^(パラメータ!$D$30+INT((N34-1)/パラメータ!$E$30)))</f>
        <v>0.83297200492899992</v>
      </c>
      <c r="R34" s="1">
        <f>パラメータ!$B$31*(1+パラメータ!$C$31)^(パラメータ!$D$31+INT((N34-1)/パラメータ!$E$31))</f>
        <v>7.4012214245917232</v>
      </c>
      <c r="S34" s="1">
        <f>パラメータ!$B$32*(1+パラメータ!$C$32)^(パラメータ!$D$32+INT((N34-1)/パラメータ!$E$32))</f>
        <v>4.3178499945455755</v>
      </c>
      <c r="T34" s="1">
        <f>パラメータ!$B$33*(1+パラメータ!$C$33)^(パラメータ!$D$33+INT((N34-1)/パラメータ!$E$33))</f>
        <v>1.4774554437890626</v>
      </c>
    </row>
    <row r="35" spans="7:20">
      <c r="G35" s="50"/>
      <c r="H35" s="50"/>
      <c r="I35" s="50"/>
      <c r="J35" s="50"/>
      <c r="K35" s="50"/>
      <c r="L35" s="50"/>
      <c r="N35" s="1">
        <v>34</v>
      </c>
      <c r="O35" s="1">
        <f>パラメータ!$B$28*(1+パラメータ!$C$28)^(パラメータ!$D$28+INT((N35-1)/パラメータ!$E$28))</f>
        <v>233.16389970546106</v>
      </c>
      <c r="P35" s="1">
        <f>パラメータ!$B$29*(1+パラメータ!$C$29)^(パラメータ!$D$29+INT((N35-1)/パラメータ!$E$29))</f>
        <v>2.1435888100000011</v>
      </c>
      <c r="Q35" s="1">
        <f>MAX(0.4,パラメータ!$B$30*(1+パラメータ!$C$30)^(パラメータ!$D$30+INT((N35-1)/パラメータ!$E$30)))</f>
        <v>0.83297200492899992</v>
      </c>
      <c r="R35" s="1">
        <f>パラメータ!$B$31*(1+パラメータ!$C$31)^(パラメータ!$D$31+INT((N35-1)/パラメータ!$E$31))</f>
        <v>7.6972702815753911</v>
      </c>
      <c r="S35" s="1">
        <f>パラメータ!$B$32*(1+パラメータ!$C$32)^(パラメータ!$D$32+INT((N35-1)/パラメータ!$E$32))</f>
        <v>4.6632779941092215</v>
      </c>
      <c r="T35" s="1">
        <f>パラメータ!$B$33*(1+パラメータ!$C$33)^(パラメータ!$D$33+INT((N35-1)/パラメータ!$E$33))</f>
        <v>1.4774554437890626</v>
      </c>
    </row>
    <row r="36" spans="7:20">
      <c r="G36" s="50"/>
      <c r="H36" s="50"/>
      <c r="I36" s="50"/>
      <c r="J36" s="50"/>
      <c r="K36" s="50"/>
      <c r="L36" s="50"/>
      <c r="N36" s="1">
        <v>35</v>
      </c>
      <c r="O36" s="1">
        <f>パラメータ!$B$28*(1+パラメータ!$C$28)^(パラメータ!$D$28+INT((N36-1)/パラメータ!$E$28))</f>
        <v>233.16389970546106</v>
      </c>
      <c r="P36" s="1">
        <f>パラメータ!$B$29*(1+パラメータ!$C$29)^(パラメータ!$D$29+INT((N36-1)/パラメータ!$E$29))</f>
        <v>2.1435888100000011</v>
      </c>
      <c r="Q36" s="1">
        <f>MAX(0.4,パラメータ!$B$30*(1+パラメータ!$C$30)^(パラメータ!$D$30+INT((N36-1)/パラメータ!$E$30)))</f>
        <v>0.83297200492899992</v>
      </c>
      <c r="R36" s="1">
        <f>パラメータ!$B$31*(1+パラメータ!$C$31)^(パラメータ!$D$31+INT((N36-1)/パラメータ!$E$31))</f>
        <v>7.6972702815753911</v>
      </c>
      <c r="S36" s="1">
        <f>パラメータ!$B$32*(1+パラメータ!$C$32)^(パラメータ!$D$32+INT((N36-1)/パラメータ!$E$32))</f>
        <v>4.6632779941092215</v>
      </c>
      <c r="T36" s="1">
        <f>パラメータ!$B$33*(1+パラメータ!$C$33)^(パラメータ!$D$33+INT((N36-1)/パラメータ!$E$33))</f>
        <v>1.4774554437890626</v>
      </c>
    </row>
    <row r="37" spans="7:20">
      <c r="G37" s="50"/>
      <c r="H37" s="50"/>
      <c r="I37" s="50"/>
      <c r="J37" s="50"/>
      <c r="K37" s="50"/>
      <c r="L37" s="50"/>
      <c r="N37" s="1">
        <v>36</v>
      </c>
      <c r="O37" s="1">
        <f>パラメータ!$B$28*(1+パラメータ!$C$28)^(パラメータ!$D$28+INT((N37-1)/パラメータ!$E$28))</f>
        <v>233.16389970546106</v>
      </c>
      <c r="P37" s="1">
        <f>パラメータ!$B$29*(1+パラメータ!$C$29)^(パラメータ!$D$29+INT((N37-1)/パラメータ!$E$29))</f>
        <v>2.1435888100000011</v>
      </c>
      <c r="Q37" s="1">
        <f>MAX(0.4,パラメータ!$B$30*(1+パラメータ!$C$30)^(パラメータ!$D$30+INT((N37-1)/パラメータ!$E$30)))</f>
        <v>0.80798284478112992</v>
      </c>
      <c r="R37" s="1">
        <f>パラメータ!$B$31*(1+パラメータ!$C$31)^(パラメータ!$D$31+INT((N37-1)/パラメータ!$E$31))</f>
        <v>7.6972702815753911</v>
      </c>
      <c r="S37" s="1">
        <f>パラメータ!$B$32*(1+パラメータ!$C$32)^(パラメータ!$D$32+INT((N37-1)/パラメータ!$E$32))</f>
        <v>4.6632779941092215</v>
      </c>
      <c r="T37" s="1">
        <f>パラメータ!$B$33*(1+パラメータ!$C$33)^(パラメータ!$D$33+INT((N37-1)/パラメータ!$E$33))</f>
        <v>1.4774554437890626</v>
      </c>
    </row>
    <row r="38" spans="7:20">
      <c r="N38" s="1">
        <v>37</v>
      </c>
      <c r="O38" s="1">
        <f>パラメータ!$B$28*(1+パラメータ!$C$28)^(パラメータ!$D$28+INT((N38-1)/パラメータ!$E$28))</f>
        <v>251.81701168189798</v>
      </c>
      <c r="P38" s="1">
        <f>パラメータ!$B$29*(1+パラメータ!$C$29)^(パラメータ!$D$29+INT((N38-1)/パラメータ!$E$29))</f>
        <v>2.3579476910000015</v>
      </c>
      <c r="Q38" s="1">
        <f>MAX(0.4,パラメータ!$B$30*(1+パラメータ!$C$30)^(パラメータ!$D$30+INT((N38-1)/パラメータ!$E$30)))</f>
        <v>0.80798284478112992</v>
      </c>
      <c r="R38" s="1">
        <f>パラメータ!$B$31*(1+パラメータ!$C$31)^(パラメータ!$D$31+INT((N38-1)/パラメータ!$E$31))</f>
        <v>8.0051610928384083</v>
      </c>
      <c r="S38" s="1">
        <f>パラメータ!$B$32*(1+パラメータ!$C$32)^(パラメータ!$D$32+INT((N38-1)/パラメータ!$E$32))</f>
        <v>5.0363402336379597</v>
      </c>
      <c r="T38" s="1">
        <f>パラメータ!$B$33*(1+パラメータ!$C$33)^(パラメータ!$D$33+INT((N38-1)/パラメータ!$E$33))</f>
        <v>1.5513282159785158</v>
      </c>
    </row>
    <row r="39" spans="7:20">
      <c r="N39" s="1">
        <v>38</v>
      </c>
      <c r="O39" s="1">
        <f>パラメータ!$B$28*(1+パラメータ!$C$28)^(パラメータ!$D$28+INT((N39-1)/パラメータ!$E$28))</f>
        <v>251.81701168189798</v>
      </c>
      <c r="P39" s="1">
        <f>パラメータ!$B$29*(1+パラメータ!$C$29)^(パラメータ!$D$29+INT((N39-1)/パラメータ!$E$29))</f>
        <v>2.3579476910000015</v>
      </c>
      <c r="Q39" s="1">
        <f>MAX(0.4,パラメータ!$B$30*(1+パラメータ!$C$30)^(パラメータ!$D$30+INT((N39-1)/パラメータ!$E$30)))</f>
        <v>0.80798284478112992</v>
      </c>
      <c r="R39" s="1">
        <f>パラメータ!$B$31*(1+パラメータ!$C$31)^(パラメータ!$D$31+INT((N39-1)/パラメータ!$E$31))</f>
        <v>8.0051610928384083</v>
      </c>
      <c r="S39" s="1">
        <f>パラメータ!$B$32*(1+パラメータ!$C$32)^(パラメータ!$D$32+INT((N39-1)/パラメータ!$E$32))</f>
        <v>5.0363402336379597</v>
      </c>
      <c r="T39" s="1">
        <f>パラメータ!$B$33*(1+パラメータ!$C$33)^(パラメータ!$D$33+INT((N39-1)/パラメータ!$E$33))</f>
        <v>1.5513282159785158</v>
      </c>
    </row>
    <row r="40" spans="7:20">
      <c r="N40" s="1">
        <v>39</v>
      </c>
      <c r="O40" s="1">
        <f>パラメータ!$B$28*(1+パラメータ!$C$28)^(パラメータ!$D$28+INT((N40-1)/パラメータ!$E$28))</f>
        <v>251.81701168189798</v>
      </c>
      <c r="P40" s="1">
        <f>パラメータ!$B$29*(1+パラメータ!$C$29)^(パラメータ!$D$29+INT((N40-1)/パラメータ!$E$29))</f>
        <v>2.3579476910000015</v>
      </c>
      <c r="Q40" s="1">
        <f>MAX(0.4,パラメータ!$B$30*(1+パラメータ!$C$30)^(パラメータ!$D$30+INT((N40-1)/パラメータ!$E$30)))</f>
        <v>0.80798284478112992</v>
      </c>
      <c r="R40" s="1">
        <f>パラメータ!$B$31*(1+パラメータ!$C$31)^(パラメータ!$D$31+INT((N40-1)/パラメータ!$E$31))</f>
        <v>8.0051610928384083</v>
      </c>
      <c r="S40" s="1">
        <f>パラメータ!$B$32*(1+パラメータ!$C$32)^(パラメータ!$D$32+INT((N40-1)/パラメータ!$E$32))</f>
        <v>5.0363402336379597</v>
      </c>
      <c r="T40" s="1">
        <f>パラメータ!$B$33*(1+パラメータ!$C$33)^(パラメータ!$D$33+INT((N40-1)/パラメータ!$E$33))</f>
        <v>1.5513282159785158</v>
      </c>
    </row>
    <row r="41" spans="7:20">
      <c r="N41" s="1">
        <v>40</v>
      </c>
      <c r="O41" s="1">
        <f>パラメータ!$B$28*(1+パラメータ!$C$28)^(パラメータ!$D$28+INT((N41-1)/パラメータ!$E$28))</f>
        <v>271.96237261644984</v>
      </c>
      <c r="P41" s="1">
        <f>パラメータ!$B$29*(1+パラメータ!$C$29)^(パラメータ!$D$29+INT((N41-1)/パラメータ!$E$29))</f>
        <v>2.3579476910000015</v>
      </c>
      <c r="Q41" s="1">
        <f>MAX(0.4,パラメータ!$B$30*(1+パラメータ!$C$30)^(パラメータ!$D$30+INT((N41-1)/パラメータ!$E$30)))</f>
        <v>0.80798284478112992</v>
      </c>
      <c r="R41" s="1">
        <f>パラメータ!$B$31*(1+パラメータ!$C$31)^(パラメータ!$D$31+INT((N41-1)/パラメータ!$E$31))</f>
        <v>8.3253675365519459</v>
      </c>
      <c r="S41" s="1">
        <f>パラメータ!$B$32*(1+パラメータ!$C$32)^(パラメータ!$D$32+INT((N41-1)/パラメータ!$E$32))</f>
        <v>5.4392474523289964</v>
      </c>
      <c r="T41" s="1">
        <f>パラメータ!$B$33*(1+パラメータ!$C$33)^(パラメータ!$D$33+INT((N41-1)/パラメータ!$E$33))</f>
        <v>1.5513282159785158</v>
      </c>
    </row>
    <row r="42" spans="7:20">
      <c r="N42" s="1">
        <v>41</v>
      </c>
      <c r="O42" s="1">
        <f>パラメータ!$B$28*(1+パラメータ!$C$28)^(パラメータ!$D$28+INT((N42-1)/パラメータ!$E$28))</f>
        <v>271.96237261644984</v>
      </c>
      <c r="P42" s="1">
        <f>パラメータ!$B$29*(1+パラメータ!$C$29)^(パラメータ!$D$29+INT((N42-1)/パラメータ!$E$29))</f>
        <v>2.5937424601000019</v>
      </c>
      <c r="Q42" s="1">
        <f>MAX(0.4,パラメータ!$B$30*(1+パラメータ!$C$30)^(パラメータ!$D$30+INT((N42-1)/パラメータ!$E$30)))</f>
        <v>0.78374335943769602</v>
      </c>
      <c r="R42" s="1">
        <f>パラメータ!$B$31*(1+パラメータ!$C$31)^(パラメータ!$D$31+INT((N42-1)/パラメータ!$E$31))</f>
        <v>8.3253675365519459</v>
      </c>
      <c r="S42" s="1">
        <f>パラメータ!$B$32*(1+パラメータ!$C$32)^(パラメータ!$D$32+INT((N42-1)/パラメータ!$E$32))</f>
        <v>5.4392474523289964</v>
      </c>
      <c r="T42" s="1">
        <f>パラメータ!$B$33*(1+パラメータ!$C$33)^(パラメータ!$D$33+INT((N42-1)/パラメータ!$E$33))</f>
        <v>1.6288946267774416</v>
      </c>
    </row>
    <row r="43" spans="7:20">
      <c r="N43" s="1">
        <v>42</v>
      </c>
      <c r="O43" s="1">
        <f>パラメータ!$B$28*(1+パラメータ!$C$28)^(パラメータ!$D$28+INT((N43-1)/パラメータ!$E$28))</f>
        <v>271.96237261644984</v>
      </c>
      <c r="P43" s="1">
        <f>パラメータ!$B$29*(1+パラメータ!$C$29)^(パラメータ!$D$29+INT((N43-1)/パラメータ!$E$29))</f>
        <v>2.5937424601000019</v>
      </c>
      <c r="Q43" s="1">
        <f>MAX(0.4,パラメータ!$B$30*(1+パラメータ!$C$30)^(パラメータ!$D$30+INT((N43-1)/パラメータ!$E$30)))</f>
        <v>0.78374335943769602</v>
      </c>
      <c r="R43" s="1">
        <f>パラメータ!$B$31*(1+パラメータ!$C$31)^(パラメータ!$D$31+INT((N43-1)/パラメータ!$E$31))</f>
        <v>8.3253675365519459</v>
      </c>
      <c r="S43" s="1">
        <f>パラメータ!$B$32*(1+パラメータ!$C$32)^(パラメータ!$D$32+INT((N43-1)/パラメータ!$E$32))</f>
        <v>5.4392474523289964</v>
      </c>
      <c r="T43" s="1">
        <f>パラメータ!$B$33*(1+パラメータ!$C$33)^(パラメータ!$D$33+INT((N43-1)/パラメータ!$E$33))</f>
        <v>1.6288946267774416</v>
      </c>
    </row>
    <row r="44" spans="7:20">
      <c r="N44" s="1">
        <v>43</v>
      </c>
      <c r="O44" s="1">
        <f>パラメータ!$B$28*(1+パラメータ!$C$28)^(パラメータ!$D$28+INT((N44-1)/パラメータ!$E$28))</f>
        <v>293.71936242576584</v>
      </c>
      <c r="P44" s="1">
        <f>パラメータ!$B$29*(1+パラメータ!$C$29)^(パラメータ!$D$29+INT((N44-1)/パラメータ!$E$29))</f>
        <v>2.5937424601000019</v>
      </c>
      <c r="Q44" s="1">
        <f>MAX(0.4,パラメータ!$B$30*(1+パラメータ!$C$30)^(パラメータ!$D$30+INT((N44-1)/パラメータ!$E$30)))</f>
        <v>0.78374335943769602</v>
      </c>
      <c r="R44" s="1">
        <f>パラメータ!$B$31*(1+パラメータ!$C$31)^(パラメータ!$D$31+INT((N44-1)/パラメータ!$E$31))</f>
        <v>8.6583822380140223</v>
      </c>
      <c r="S44" s="1">
        <f>パラメータ!$B$32*(1+パラメータ!$C$32)^(パラメータ!$D$32+INT((N44-1)/パラメータ!$E$32))</f>
        <v>5.8743872485153172</v>
      </c>
      <c r="T44" s="1">
        <f>パラメータ!$B$33*(1+パラメータ!$C$33)^(パラメータ!$D$33+INT((N44-1)/パラメータ!$E$33))</f>
        <v>1.6288946267774416</v>
      </c>
    </row>
    <row r="45" spans="7:20">
      <c r="N45" s="1">
        <v>44</v>
      </c>
      <c r="O45" s="1">
        <f>パラメータ!$B$28*(1+パラメータ!$C$28)^(パラメータ!$D$28+INT((N45-1)/パラメータ!$E$28))</f>
        <v>293.71936242576584</v>
      </c>
      <c r="P45" s="1">
        <f>パラメータ!$B$29*(1+パラメータ!$C$29)^(パラメータ!$D$29+INT((N45-1)/パラメータ!$E$29))</f>
        <v>2.5937424601000019</v>
      </c>
      <c r="Q45" s="1">
        <f>MAX(0.4,パラメータ!$B$30*(1+パラメータ!$C$30)^(パラメータ!$D$30+INT((N45-1)/パラメータ!$E$30)))</f>
        <v>0.78374335943769602</v>
      </c>
      <c r="R45" s="1">
        <f>パラメータ!$B$31*(1+パラメータ!$C$31)^(パラメータ!$D$31+INT((N45-1)/パラメータ!$E$31))</f>
        <v>8.6583822380140223</v>
      </c>
      <c r="S45" s="1">
        <f>パラメータ!$B$32*(1+パラメータ!$C$32)^(パラメータ!$D$32+INT((N45-1)/パラメータ!$E$32))</f>
        <v>5.8743872485153172</v>
      </c>
      <c r="T45" s="1">
        <f>パラメータ!$B$33*(1+パラメータ!$C$33)^(パラメータ!$D$33+INT((N45-1)/パラメータ!$E$33))</f>
        <v>1.6288946267774416</v>
      </c>
    </row>
    <row r="46" spans="7:20">
      <c r="N46" s="1">
        <v>45</v>
      </c>
      <c r="O46" s="1">
        <f>パラメータ!$B$28*(1+パラメータ!$C$28)^(パラメータ!$D$28+INT((N46-1)/パラメータ!$E$28))</f>
        <v>293.71936242576584</v>
      </c>
      <c r="P46" s="1">
        <f>パラメータ!$B$29*(1+パラメータ!$C$29)^(パラメータ!$D$29+INT((N46-1)/パラメータ!$E$29))</f>
        <v>2.8531167061100025</v>
      </c>
      <c r="Q46" s="1">
        <f>MAX(0.4,パラメータ!$B$30*(1+パラメータ!$C$30)^(パラメータ!$D$30+INT((N46-1)/パラメータ!$E$30)))</f>
        <v>0.78374335943769602</v>
      </c>
      <c r="R46" s="1">
        <f>パラメータ!$B$31*(1+パラメータ!$C$31)^(パラメータ!$D$31+INT((N46-1)/パラメータ!$E$31))</f>
        <v>8.6583822380140223</v>
      </c>
      <c r="S46" s="1">
        <f>パラメータ!$B$32*(1+パラメータ!$C$32)^(パラメータ!$D$32+INT((N46-1)/パラメータ!$E$32))</f>
        <v>5.8743872485153172</v>
      </c>
      <c r="T46" s="1">
        <f>パラメータ!$B$33*(1+パラメータ!$C$33)^(パラメータ!$D$33+INT((N46-1)/パラメータ!$E$33))</f>
        <v>1.7103393581163138</v>
      </c>
    </row>
    <row r="47" spans="7:20">
      <c r="N47" s="1">
        <v>46</v>
      </c>
      <c r="O47" s="1">
        <f>パラメータ!$B$28*(1+パラメータ!$C$28)^(パラメータ!$D$28+INT((N47-1)/パラメータ!$E$28))</f>
        <v>317.21691141982717</v>
      </c>
      <c r="P47" s="1">
        <f>パラメータ!$B$29*(1+パラメータ!$C$29)^(パラメータ!$D$29+INT((N47-1)/パラメータ!$E$29))</f>
        <v>2.8531167061100025</v>
      </c>
      <c r="Q47" s="1">
        <f>MAX(0.4,パラメータ!$B$30*(1+パラメータ!$C$30)^(パラメータ!$D$30+INT((N47-1)/パラメータ!$E$30)))</f>
        <v>0.76023105865456508</v>
      </c>
      <c r="R47" s="1">
        <f>パラメータ!$B$31*(1+パラメータ!$C$31)^(パラメータ!$D$31+INT((N47-1)/パラメータ!$E$31))</f>
        <v>9.0047175275345843</v>
      </c>
      <c r="S47" s="1">
        <f>パラメータ!$B$32*(1+パラメータ!$C$32)^(パラメータ!$D$32+INT((N47-1)/パラメータ!$E$32))</f>
        <v>6.344338228396543</v>
      </c>
      <c r="T47" s="1">
        <f>パラメータ!$B$33*(1+パラメータ!$C$33)^(パラメータ!$D$33+INT((N47-1)/パラメータ!$E$33))</f>
        <v>1.7103393581163138</v>
      </c>
    </row>
    <row r="48" spans="7:20">
      <c r="N48" s="1">
        <v>47</v>
      </c>
      <c r="O48" s="1">
        <f>パラメータ!$B$28*(1+パラメータ!$C$28)^(パラメータ!$D$28+INT((N48-1)/パラメータ!$E$28))</f>
        <v>317.21691141982717</v>
      </c>
      <c r="P48" s="1">
        <f>パラメータ!$B$29*(1+パラメータ!$C$29)^(パラメータ!$D$29+INT((N48-1)/パラメータ!$E$29))</f>
        <v>2.8531167061100025</v>
      </c>
      <c r="Q48" s="1">
        <f>MAX(0.4,パラメータ!$B$30*(1+パラメータ!$C$30)^(パラメータ!$D$30+INT((N48-1)/パラメータ!$E$30)))</f>
        <v>0.76023105865456508</v>
      </c>
      <c r="R48" s="1">
        <f>パラメータ!$B$31*(1+パラメータ!$C$31)^(パラメータ!$D$31+INT((N48-1)/パラメータ!$E$31))</f>
        <v>9.0047175275345843</v>
      </c>
      <c r="S48" s="1">
        <f>パラメータ!$B$32*(1+パラメータ!$C$32)^(パラメータ!$D$32+INT((N48-1)/パラメータ!$E$32))</f>
        <v>6.344338228396543</v>
      </c>
      <c r="T48" s="1">
        <f>パラメータ!$B$33*(1+パラメータ!$C$33)^(パラメータ!$D$33+INT((N48-1)/パラメータ!$E$33))</f>
        <v>1.7103393581163138</v>
      </c>
    </row>
    <row r="49" spans="14:20">
      <c r="N49" s="1">
        <v>48</v>
      </c>
      <c r="O49" s="1">
        <f>パラメータ!$B$28*(1+パラメータ!$C$28)^(パラメータ!$D$28+INT((N49-1)/パラメータ!$E$28))</f>
        <v>317.21691141982717</v>
      </c>
      <c r="P49" s="1">
        <f>パラメータ!$B$29*(1+パラメータ!$C$29)^(パラメータ!$D$29+INT((N49-1)/パラメータ!$E$29))</f>
        <v>2.8531167061100025</v>
      </c>
      <c r="Q49" s="1">
        <f>MAX(0.4,パラメータ!$B$30*(1+パラメータ!$C$30)^(パラメータ!$D$30+INT((N49-1)/パラメータ!$E$30)))</f>
        <v>0.76023105865456508</v>
      </c>
      <c r="R49" s="1">
        <f>パラメータ!$B$31*(1+パラメータ!$C$31)^(パラメータ!$D$31+INT((N49-1)/パラメータ!$E$31))</f>
        <v>9.0047175275345843</v>
      </c>
      <c r="S49" s="1">
        <f>パラメータ!$B$32*(1+パラメータ!$C$32)^(パラメータ!$D$32+INT((N49-1)/パラメータ!$E$32))</f>
        <v>6.344338228396543</v>
      </c>
      <c r="T49" s="1">
        <f>パラメータ!$B$33*(1+パラメータ!$C$33)^(パラメータ!$D$33+INT((N49-1)/パラメータ!$E$33))</f>
        <v>1.7103393581163138</v>
      </c>
    </row>
    <row r="50" spans="14:20">
      <c r="N50" s="1">
        <v>49</v>
      </c>
      <c r="O50" s="1">
        <f>パラメータ!$B$28*(1+パラメータ!$C$28)^(パラメータ!$D$28+INT((N50-1)/パラメータ!$E$28))</f>
        <v>342.59426433341332</v>
      </c>
      <c r="P50" s="1">
        <f>パラメータ!$B$29*(1+パラメータ!$C$29)^(パラメータ!$D$29+INT((N50-1)/パラメータ!$E$29))</f>
        <v>3.1384283767210026</v>
      </c>
      <c r="Q50" s="1">
        <f>MAX(0.4,パラメータ!$B$30*(1+パラメータ!$C$30)^(パラメータ!$D$30+INT((N50-1)/パラメータ!$E$30)))</f>
        <v>0.76023105865456508</v>
      </c>
      <c r="R50" s="1">
        <f>パラメータ!$B$31*(1+パラメータ!$C$31)^(パラメータ!$D$31+INT((N50-1)/パラメータ!$E$31))</f>
        <v>9.3649062286359683</v>
      </c>
      <c r="S50" s="1">
        <f>パラメータ!$B$32*(1+パラメータ!$C$32)^(パラメータ!$D$32+INT((N50-1)/パラメータ!$E$32))</f>
        <v>6.8518852866682662</v>
      </c>
      <c r="T50" s="1">
        <f>パラメータ!$B$33*(1+パラメータ!$C$33)^(パラメータ!$D$33+INT((N50-1)/パラメータ!$E$33))</f>
        <v>1.7958563260221292</v>
      </c>
    </row>
    <row r="51" spans="14:20">
      <c r="N51" s="1">
        <v>50</v>
      </c>
      <c r="O51" s="1">
        <f>パラメータ!$B$28*(1+パラメータ!$C$28)^(パラメータ!$D$28+INT((N51-1)/パラメータ!$E$28))</f>
        <v>342.59426433341332</v>
      </c>
      <c r="P51" s="1">
        <f>パラメータ!$B$29*(1+パラメータ!$C$29)^(パラメータ!$D$29+INT((N51-1)/パラメータ!$E$29))</f>
        <v>3.1384283767210026</v>
      </c>
      <c r="Q51" s="1">
        <f>MAX(0.4,パラメータ!$B$30*(1+パラメータ!$C$30)^(パラメータ!$D$30+INT((N51-1)/パラメータ!$E$30)))</f>
        <v>0.76023105865456508</v>
      </c>
      <c r="R51" s="1">
        <f>パラメータ!$B$31*(1+パラメータ!$C$31)^(パラメータ!$D$31+INT((N51-1)/パラメータ!$E$31))</f>
        <v>9.3649062286359683</v>
      </c>
      <c r="S51" s="1">
        <f>パラメータ!$B$32*(1+パラメータ!$C$32)^(パラメータ!$D$32+INT((N51-1)/パラメータ!$E$32))</f>
        <v>6.8518852866682662</v>
      </c>
      <c r="T51" s="1">
        <f>パラメータ!$B$33*(1+パラメータ!$C$33)^(パラメータ!$D$33+INT((N51-1)/パラメータ!$E$33))</f>
        <v>1.7958563260221292</v>
      </c>
    </row>
  </sheetData>
  <mergeCells count="20">
    <mergeCell ref="J10:L10"/>
    <mergeCell ref="J11:L13"/>
    <mergeCell ref="G31:L31"/>
    <mergeCell ref="G32:L37"/>
    <mergeCell ref="A10:C10"/>
    <mergeCell ref="A11:C13"/>
    <mergeCell ref="D10:F10"/>
    <mergeCell ref="D11:F13"/>
    <mergeCell ref="G10:I10"/>
    <mergeCell ref="G11:I13"/>
    <mergeCell ref="A1:L2"/>
    <mergeCell ref="D3:L3"/>
    <mergeCell ref="A5:C5"/>
    <mergeCell ref="A6:C8"/>
    <mergeCell ref="D5:F5"/>
    <mergeCell ref="D6:F8"/>
    <mergeCell ref="G5:I5"/>
    <mergeCell ref="G6:I8"/>
    <mergeCell ref="J5:L5"/>
    <mergeCell ref="J6:L8"/>
  </mergeCells>
  <phoneticPr fontId="3"/>
  <conditionalFormatting sqref="J6:L8">
    <cfRule type="expression" dxfId="0" priority="1" stopIfTrue="1">
      <formula>$J$6="リセット推奨"</formula>
    </cfRule>
  </conditionalFormatting>
  <dataValidations count="1">
    <dataValidation type="whole" allowBlank="1" showInputMessage="1" showErrorMessage="1" sqref="B3" xr:uid="{D1D47591-C5DC-45CB-AD81-8D9018F18CA7}">
      <formula1>1</formula1>
      <formula2>50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30E9-9F6B-4FDD-80BB-B9A57720CF89}">
  <dimension ref="A1:G39"/>
  <sheetViews>
    <sheetView showGridLines="0" workbookViewId="0">
      <pane ySplit="5" topLeftCell="A6" activePane="bottomLeft" state="frozenSplit"/>
      <selection pane="bottomLeft" sqref="A1:G2"/>
    </sheetView>
  </sheetViews>
  <sheetFormatPr defaultRowHeight="14.25"/>
  <cols>
    <col min="1" max="1" width="24.625" style="1" customWidth="1"/>
    <col min="2" max="2" width="13.625" style="1" customWidth="1"/>
    <col min="3" max="3" width="16.625" style="1" customWidth="1"/>
    <col min="4" max="4" width="12.625" style="1" customWidth="1"/>
    <col min="5" max="5" width="19.625" style="1" customWidth="1"/>
    <col min="6" max="6" width="13.625" style="1" customWidth="1"/>
    <col min="7" max="7" width="38.625" style="1" customWidth="1"/>
    <col min="8" max="16384" width="9" style="1"/>
  </cols>
  <sheetData>
    <row r="1" spans="1:7" ht="27.95" customHeight="1">
      <c r="A1" s="2" t="s">
        <v>0</v>
      </c>
      <c r="B1" s="2"/>
      <c r="C1" s="2"/>
      <c r="D1" s="2"/>
      <c r="E1" s="2"/>
      <c r="F1" s="2"/>
      <c r="G1" s="2"/>
    </row>
    <row r="2" spans="1:7" ht="27.95" customHeight="1">
      <c r="A2" s="2"/>
      <c r="B2" s="2"/>
      <c r="C2" s="2"/>
      <c r="D2" s="2"/>
      <c r="E2" s="2"/>
      <c r="F2" s="2"/>
      <c r="G2" s="2"/>
    </row>
    <row r="3" spans="1:7">
      <c r="A3" s="3" t="s">
        <v>1</v>
      </c>
      <c r="B3" s="4"/>
      <c r="C3" s="4"/>
      <c r="D3" s="4"/>
      <c r="E3" s="4"/>
      <c r="F3" s="4"/>
      <c r="G3" s="4"/>
    </row>
    <row r="5" spans="1:7" ht="21.95" customHeight="1">
      <c r="A5" s="5" t="s">
        <v>2</v>
      </c>
      <c r="B5" s="5"/>
      <c r="C5" s="5"/>
      <c r="D5" s="5"/>
      <c r="E5" s="5"/>
      <c r="F5" s="5"/>
      <c r="G5" s="5"/>
    </row>
    <row r="6" spans="1:7">
      <c r="A6" s="6" t="s">
        <v>3</v>
      </c>
      <c r="B6" s="6" t="s">
        <v>4</v>
      </c>
      <c r="C6" s="6" t="s">
        <v>5</v>
      </c>
      <c r="D6" s="6" t="s">
        <v>6</v>
      </c>
      <c r="E6" s="6"/>
      <c r="F6" s="6"/>
      <c r="G6" s="6"/>
    </row>
    <row r="7" spans="1:7" ht="28.5">
      <c r="A7" s="7" t="s">
        <v>7</v>
      </c>
      <c r="B7" s="8">
        <v>50</v>
      </c>
      <c r="C7" s="7" t="s">
        <v>8</v>
      </c>
      <c r="D7" s="9" t="s">
        <v>9</v>
      </c>
      <c r="E7" s="7"/>
      <c r="F7" s="7"/>
      <c r="G7" s="7"/>
    </row>
    <row r="8" spans="1:7" ht="42.75">
      <c r="A8" s="7" t="s">
        <v>10</v>
      </c>
      <c r="B8" s="10">
        <v>0.35</v>
      </c>
      <c r="C8" s="7" t="s">
        <v>11</v>
      </c>
      <c r="D8" s="9" t="s">
        <v>12</v>
      </c>
      <c r="E8" s="7"/>
      <c r="F8" s="7"/>
      <c r="G8" s="7"/>
    </row>
    <row r="9" spans="1:7" ht="28.5">
      <c r="A9" s="7" t="s">
        <v>13</v>
      </c>
      <c r="B9" s="10">
        <v>0.16</v>
      </c>
      <c r="C9" s="7" t="s">
        <v>14</v>
      </c>
      <c r="D9" s="9" t="s">
        <v>15</v>
      </c>
      <c r="E9" s="7"/>
      <c r="F9" s="7"/>
      <c r="G9" s="7"/>
    </row>
    <row r="10" spans="1:7" ht="28.5">
      <c r="A10" s="7" t="s">
        <v>16</v>
      </c>
      <c r="B10" s="11">
        <v>6</v>
      </c>
      <c r="C10" s="7" t="s">
        <v>17</v>
      </c>
      <c r="D10" s="9" t="s">
        <v>18</v>
      </c>
      <c r="E10" s="7"/>
      <c r="F10" s="7"/>
      <c r="G10" s="7"/>
    </row>
    <row r="11" spans="1:7" ht="42.75">
      <c r="A11" s="7" t="s">
        <v>19</v>
      </c>
      <c r="B11" s="10">
        <v>0.12</v>
      </c>
      <c r="C11" s="7" t="s">
        <v>20</v>
      </c>
      <c r="D11" s="9" t="s">
        <v>21</v>
      </c>
      <c r="E11" s="7"/>
      <c r="F11" s="7"/>
      <c r="G11" s="7"/>
    </row>
    <row r="12" spans="1:7" ht="28.5">
      <c r="A12" s="7" t="s">
        <v>22</v>
      </c>
      <c r="B12" s="8">
        <v>24</v>
      </c>
      <c r="C12" s="7" t="s">
        <v>23</v>
      </c>
      <c r="D12" s="9" t="s">
        <v>24</v>
      </c>
      <c r="E12" s="7"/>
      <c r="F12" s="7"/>
      <c r="G12" s="7"/>
    </row>
    <row r="13" spans="1:7" ht="28.5">
      <c r="A13" s="7" t="s">
        <v>25</v>
      </c>
      <c r="B13" s="8">
        <v>24</v>
      </c>
      <c r="C13" s="7" t="s">
        <v>23</v>
      </c>
      <c r="D13" s="9" t="s">
        <v>26</v>
      </c>
      <c r="E13" s="7"/>
      <c r="F13" s="7"/>
      <c r="G13" s="7"/>
    </row>
    <row r="14" spans="1:7" ht="28.5">
      <c r="A14" s="7" t="s">
        <v>27</v>
      </c>
      <c r="B14" s="8">
        <v>3</v>
      </c>
      <c r="C14" s="7" t="s">
        <v>23</v>
      </c>
      <c r="D14" s="9" t="s">
        <v>28</v>
      </c>
      <c r="E14" s="7"/>
      <c r="F14" s="7"/>
      <c r="G14" s="7"/>
    </row>
    <row r="15" spans="1:7">
      <c r="A15" s="7" t="s">
        <v>29</v>
      </c>
      <c r="B15" s="8">
        <v>5</v>
      </c>
      <c r="C15" s="7" t="s">
        <v>8</v>
      </c>
      <c r="D15" s="9" t="s">
        <v>30</v>
      </c>
      <c r="E15" s="7"/>
      <c r="F15" s="7"/>
      <c r="G15" s="7"/>
    </row>
    <row r="16" spans="1:7">
      <c r="A16" s="12"/>
      <c r="B16" s="12"/>
      <c r="C16" s="12"/>
      <c r="D16" s="13"/>
      <c r="E16" s="12"/>
      <c r="F16" s="12"/>
      <c r="G16" s="12"/>
    </row>
    <row r="17" spans="1:7" ht="21.95" customHeight="1">
      <c r="A17" s="14" t="s">
        <v>31</v>
      </c>
      <c r="B17" s="14"/>
      <c r="C17" s="14"/>
      <c r="D17" s="15"/>
      <c r="E17" s="14"/>
      <c r="F17" s="14"/>
      <c r="G17" s="14"/>
    </row>
    <row r="18" spans="1:7">
      <c r="A18" s="6" t="s">
        <v>3</v>
      </c>
      <c r="B18" s="6" t="s">
        <v>32</v>
      </c>
      <c r="C18" s="6" t="s">
        <v>33</v>
      </c>
      <c r="D18" s="16" t="s">
        <v>34</v>
      </c>
      <c r="E18" s="6" t="s">
        <v>35</v>
      </c>
      <c r="F18" s="6" t="s">
        <v>36</v>
      </c>
      <c r="G18" s="16" t="s">
        <v>37</v>
      </c>
    </row>
    <row r="19" spans="1:7">
      <c r="A19" s="7" t="s">
        <v>38</v>
      </c>
      <c r="B19" s="10">
        <v>1</v>
      </c>
      <c r="C19" s="10">
        <v>0.04</v>
      </c>
      <c r="D19" s="17">
        <v>0</v>
      </c>
      <c r="E19" s="8">
        <v>2</v>
      </c>
      <c r="F19" s="7" t="s">
        <v>38</v>
      </c>
      <c r="G19" s="9" t="s">
        <v>39</v>
      </c>
    </row>
    <row r="20" spans="1:7">
      <c r="A20" s="7" t="s">
        <v>40</v>
      </c>
      <c r="B20" s="10">
        <v>12</v>
      </c>
      <c r="C20" s="10">
        <v>0.02</v>
      </c>
      <c r="D20" s="17">
        <v>0</v>
      </c>
      <c r="E20" s="8">
        <v>2</v>
      </c>
      <c r="F20" s="7" t="s">
        <v>41</v>
      </c>
      <c r="G20" s="9" t="s">
        <v>42</v>
      </c>
    </row>
    <row r="21" spans="1:7">
      <c r="A21" s="7" t="s">
        <v>43</v>
      </c>
      <c r="B21" s="8">
        <v>0.5</v>
      </c>
      <c r="C21" s="8">
        <v>0.03</v>
      </c>
      <c r="D21" s="17">
        <v>0</v>
      </c>
      <c r="E21" s="8">
        <v>3</v>
      </c>
      <c r="F21" s="7" t="s">
        <v>44</v>
      </c>
      <c r="G21" s="9" t="s">
        <v>45</v>
      </c>
    </row>
    <row r="22" spans="1:7">
      <c r="A22" s="7" t="s">
        <v>46</v>
      </c>
      <c r="B22" s="10">
        <v>4</v>
      </c>
      <c r="C22" s="10">
        <v>0.03</v>
      </c>
      <c r="D22" s="17">
        <v>0</v>
      </c>
      <c r="E22" s="8">
        <v>2</v>
      </c>
      <c r="F22" s="7" t="s">
        <v>47</v>
      </c>
      <c r="G22" s="9" t="s">
        <v>48</v>
      </c>
    </row>
    <row r="23" spans="1:7">
      <c r="A23" s="7" t="s">
        <v>49</v>
      </c>
      <c r="B23" s="8">
        <v>1</v>
      </c>
      <c r="C23" s="8">
        <v>1</v>
      </c>
      <c r="D23" s="17">
        <v>0</v>
      </c>
      <c r="E23" s="8">
        <v>10</v>
      </c>
      <c r="F23" s="7" t="s">
        <v>50</v>
      </c>
      <c r="G23" s="9" t="s">
        <v>51</v>
      </c>
    </row>
    <row r="24" spans="1:7">
      <c r="A24" s="7" t="s">
        <v>52</v>
      </c>
      <c r="B24" s="10">
        <v>0.08</v>
      </c>
      <c r="C24" s="10">
        <v>0.05</v>
      </c>
      <c r="D24" s="17">
        <v>0</v>
      </c>
      <c r="E24" s="8">
        <v>3</v>
      </c>
      <c r="F24" s="7" t="s">
        <v>53</v>
      </c>
      <c r="G24" s="9" t="s">
        <v>54</v>
      </c>
    </row>
    <row r="25" spans="1:7">
      <c r="A25" s="12"/>
      <c r="B25" s="12"/>
      <c r="C25" s="12"/>
      <c r="D25" s="13"/>
      <c r="E25" s="12"/>
      <c r="F25" s="12"/>
      <c r="G25" s="13"/>
    </row>
    <row r="26" spans="1:7" ht="21.95" customHeight="1">
      <c r="A26" s="14" t="s">
        <v>55</v>
      </c>
      <c r="B26" s="14"/>
      <c r="C26" s="14"/>
      <c r="D26" s="15"/>
      <c r="E26" s="14"/>
      <c r="F26" s="14"/>
      <c r="G26" s="15"/>
    </row>
    <row r="27" spans="1:7">
      <c r="A27" s="6" t="s">
        <v>3</v>
      </c>
      <c r="B27" s="6" t="s">
        <v>32</v>
      </c>
      <c r="C27" s="6" t="s">
        <v>33</v>
      </c>
      <c r="D27" s="16" t="s">
        <v>34</v>
      </c>
      <c r="E27" s="6" t="s">
        <v>35</v>
      </c>
      <c r="F27" s="6" t="s">
        <v>36</v>
      </c>
      <c r="G27" s="16" t="s">
        <v>37</v>
      </c>
    </row>
    <row r="28" spans="1:7">
      <c r="A28" s="7" t="s">
        <v>56</v>
      </c>
      <c r="B28" s="10">
        <v>100</v>
      </c>
      <c r="C28" s="10">
        <v>0.08</v>
      </c>
      <c r="D28" s="17">
        <v>0</v>
      </c>
      <c r="E28" s="8">
        <v>3</v>
      </c>
      <c r="F28" s="7" t="s">
        <v>57</v>
      </c>
      <c r="G28" s="9" t="s">
        <v>39</v>
      </c>
    </row>
    <row r="29" spans="1:7">
      <c r="A29" s="7" t="s">
        <v>58</v>
      </c>
      <c r="B29" s="10">
        <v>1</v>
      </c>
      <c r="C29" s="10">
        <v>0.1</v>
      </c>
      <c r="D29" s="17">
        <v>0</v>
      </c>
      <c r="E29" s="8">
        <v>4</v>
      </c>
      <c r="F29" s="7" t="s">
        <v>59</v>
      </c>
      <c r="G29" s="9" t="s">
        <v>39</v>
      </c>
    </row>
    <row r="30" spans="1:7">
      <c r="A30" s="7" t="s">
        <v>60</v>
      </c>
      <c r="B30" s="10">
        <v>1</v>
      </c>
      <c r="C30" s="10">
        <v>-0.03</v>
      </c>
      <c r="D30" s="17">
        <v>0</v>
      </c>
      <c r="E30" s="8">
        <v>5</v>
      </c>
      <c r="F30" s="7" t="s">
        <v>61</v>
      </c>
      <c r="G30" s="9" t="s">
        <v>62</v>
      </c>
    </row>
    <row r="31" spans="1:7">
      <c r="A31" s="7" t="s">
        <v>63</v>
      </c>
      <c r="B31" s="10">
        <v>5</v>
      </c>
      <c r="C31" s="10">
        <v>0.04</v>
      </c>
      <c r="D31" s="17">
        <v>0</v>
      </c>
      <c r="E31" s="8">
        <v>3</v>
      </c>
      <c r="F31" s="7" t="s">
        <v>41</v>
      </c>
      <c r="G31" s="9" t="s">
        <v>39</v>
      </c>
    </row>
    <row r="32" spans="1:7">
      <c r="A32" s="7" t="s">
        <v>64</v>
      </c>
      <c r="B32" s="10">
        <v>2</v>
      </c>
      <c r="C32" s="10">
        <v>0.08</v>
      </c>
      <c r="D32" s="17">
        <v>0</v>
      </c>
      <c r="E32" s="8">
        <v>3</v>
      </c>
      <c r="F32" s="7" t="s">
        <v>65</v>
      </c>
      <c r="G32" s="9" t="s">
        <v>39</v>
      </c>
    </row>
    <row r="33" spans="1:7">
      <c r="A33" s="7" t="s">
        <v>66</v>
      </c>
      <c r="B33" s="10">
        <v>1</v>
      </c>
      <c r="C33" s="10">
        <v>0.05</v>
      </c>
      <c r="D33" s="17">
        <v>0</v>
      </c>
      <c r="E33" s="8">
        <v>4</v>
      </c>
      <c r="F33" s="7" t="s">
        <v>61</v>
      </c>
      <c r="G33" s="9" t="s">
        <v>39</v>
      </c>
    </row>
    <row r="34" spans="1:7">
      <c r="A34" s="12"/>
      <c r="B34" s="12"/>
      <c r="C34" s="12"/>
      <c r="D34" s="13"/>
      <c r="E34" s="12"/>
      <c r="F34" s="12"/>
      <c r="G34" s="12"/>
    </row>
    <row r="35" spans="1:7" ht="21.95" customHeight="1">
      <c r="A35" s="14" t="s">
        <v>67</v>
      </c>
      <c r="B35" s="14"/>
      <c r="C35" s="14"/>
      <c r="D35" s="15"/>
      <c r="E35" s="14"/>
      <c r="F35" s="14"/>
      <c r="G35" s="14"/>
    </row>
    <row r="36" spans="1:7">
      <c r="A36" s="6" t="s">
        <v>68</v>
      </c>
      <c r="B36" s="6" t="s">
        <v>4</v>
      </c>
      <c r="C36" s="6" t="s">
        <v>69</v>
      </c>
      <c r="D36" s="16" t="s">
        <v>70</v>
      </c>
      <c r="E36" s="6"/>
      <c r="F36" s="6"/>
      <c r="G36" s="6"/>
    </row>
    <row r="37" spans="1:7" ht="28.5">
      <c r="A37" s="7" t="s">
        <v>71</v>
      </c>
      <c r="B37" s="11">
        <v>1.2</v>
      </c>
      <c r="C37" s="7" t="s">
        <v>72</v>
      </c>
      <c r="D37" s="9" t="s">
        <v>73</v>
      </c>
      <c r="E37" s="7"/>
      <c r="F37" s="7"/>
      <c r="G37" s="7"/>
    </row>
    <row r="38" spans="1:7" ht="28.5">
      <c r="A38" s="7" t="s">
        <v>74</v>
      </c>
      <c r="B38" s="11">
        <v>1.2</v>
      </c>
      <c r="C38" s="7" t="s">
        <v>75</v>
      </c>
      <c r="D38" s="9" t="s">
        <v>76</v>
      </c>
      <c r="E38" s="7"/>
      <c r="F38" s="7"/>
      <c r="G38" s="7"/>
    </row>
    <row r="39" spans="1:7" ht="28.5">
      <c r="A39" s="7" t="s">
        <v>77</v>
      </c>
      <c r="B39" s="11">
        <v>1</v>
      </c>
      <c r="C39" s="7" t="s">
        <v>78</v>
      </c>
      <c r="D39" s="9" t="s">
        <v>79</v>
      </c>
      <c r="E39" s="7"/>
      <c r="F39" s="7"/>
      <c r="G39" s="7"/>
    </row>
  </sheetData>
  <mergeCells count="6">
    <mergeCell ref="A1:G2"/>
    <mergeCell ref="A3:G3"/>
    <mergeCell ref="A5:G5"/>
    <mergeCell ref="A17:G17"/>
    <mergeCell ref="A26:G26"/>
    <mergeCell ref="A35:G35"/>
  </mergeCells>
  <phoneticPr fontId="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5DCA-08E7-444F-896C-AC4697DB3D96}">
  <dimension ref="A1:W53"/>
  <sheetViews>
    <sheetView showGridLines="0" workbookViewId="0">
      <pane xSplit="2" ySplit="3" topLeftCell="C4" activePane="bottomRight" state="frozenSplit"/>
      <selection pane="bottomLeft" activeCell="A4" sqref="A4"/>
      <selection pane="topRight" activeCell="C1" sqref="C1"/>
      <selection pane="bottomRight" sqref="A1:W2"/>
    </sheetView>
  </sheetViews>
  <sheetFormatPr defaultRowHeight="14.25"/>
  <cols>
    <col min="1" max="1" width="8.625" style="1" customWidth="1"/>
    <col min="2" max="4" width="10.625" style="1" customWidth="1"/>
    <col min="5" max="8" width="12.625" style="1" customWidth="1"/>
    <col min="9" max="9" width="13.625" style="1" customWidth="1"/>
    <col min="10" max="11" width="11.625" style="1" customWidth="1"/>
    <col min="12" max="12" width="13.625" style="1" customWidth="1"/>
    <col min="13" max="13" width="11.625" style="1" customWidth="1"/>
    <col min="14" max="15" width="12.625" style="1" customWidth="1"/>
    <col min="16" max="18" width="13.625" style="1" customWidth="1"/>
    <col min="19" max="19" width="15.625" style="1" customWidth="1"/>
    <col min="20" max="21" width="14.625" style="1" customWidth="1"/>
    <col min="22" max="22" width="24.625" style="1" customWidth="1"/>
    <col min="23" max="23" width="15.625" style="1" customWidth="1"/>
    <col min="24" max="16384" width="9" style="1"/>
  </cols>
  <sheetData>
    <row r="1" spans="1:23" ht="27.95" customHeight="1">
      <c r="A1" s="2" t="s">
        <v>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7.9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>
      <c r="A3" s="18" t="s">
        <v>81</v>
      </c>
      <c r="B3" s="19" t="s">
        <v>82</v>
      </c>
      <c r="C3" s="19" t="s">
        <v>38</v>
      </c>
      <c r="D3" s="19" t="s">
        <v>40</v>
      </c>
      <c r="E3" s="19" t="s">
        <v>83</v>
      </c>
      <c r="F3" s="19" t="s">
        <v>84</v>
      </c>
      <c r="G3" s="19" t="s">
        <v>46</v>
      </c>
      <c r="H3" s="19" t="s">
        <v>49</v>
      </c>
      <c r="I3" s="19" t="s">
        <v>85</v>
      </c>
      <c r="J3" s="19" t="s">
        <v>86</v>
      </c>
      <c r="K3" s="19" t="s">
        <v>87</v>
      </c>
      <c r="L3" s="19" t="s">
        <v>88</v>
      </c>
      <c r="M3" s="19" t="s">
        <v>89</v>
      </c>
      <c r="N3" s="19" t="s">
        <v>90</v>
      </c>
      <c r="O3" s="19" t="s">
        <v>11</v>
      </c>
      <c r="P3" s="19" t="s">
        <v>91</v>
      </c>
      <c r="Q3" s="19" t="s">
        <v>92</v>
      </c>
      <c r="R3" s="19" t="s">
        <v>93</v>
      </c>
      <c r="S3" s="19" t="s">
        <v>94</v>
      </c>
      <c r="T3" s="19" t="s">
        <v>95</v>
      </c>
      <c r="U3" s="19" t="s">
        <v>96</v>
      </c>
      <c r="V3" s="19" t="s">
        <v>97</v>
      </c>
      <c r="W3" s="20" t="s">
        <v>98</v>
      </c>
    </row>
    <row r="4" spans="1:23">
      <c r="A4" s="21">
        <v>1</v>
      </c>
      <c r="B4" s="22" t="str">
        <f>IF(MOD(A4,パラメータ!$B$15)=0,"ボス","一般")</f>
        <v>一般</v>
      </c>
      <c r="C4" s="23">
        <f>パラメータ!$B$19*(1+パラメータ!$C$19)^(パラメータ!$D$19+INT((A4-1)/パラメータ!$E$19))</f>
        <v>1</v>
      </c>
      <c r="D4" s="23">
        <f>パラメータ!$B$20*(1+パラメータ!$C$20)^(パラメータ!$D$20+INT((A4-1)/パラメータ!$E$20))</f>
        <v>12</v>
      </c>
      <c r="E4" s="24">
        <f>MIN(1,パラメータ!$B$21*(1+パラメータ!$C$21)^(パラメータ!$D$21+INT((A4-1)/パラメータ!$E$21)))</f>
        <v>0.5</v>
      </c>
      <c r="F4" s="23">
        <f>0.5*C4*D4^2*E4</f>
        <v>36</v>
      </c>
      <c r="G4" s="23">
        <f>パラメータ!$B$22*(1+パラメータ!$C$22)^(パラメータ!$D$22+INT((A4-1)/パラメータ!$E$22))</f>
        <v>4</v>
      </c>
      <c r="H4" s="23">
        <f>パラメータ!$B$23+パラメータ!$C$23*(パラメータ!$D$23+INT((A4-1)/パラメータ!$E$23))</f>
        <v>1</v>
      </c>
      <c r="I4" s="23">
        <f>F4*G4*H4</f>
        <v>144</v>
      </c>
      <c r="J4" s="23">
        <f>IF(B4="ボス",パラメータ!$B$13+パラメータ!$B$14,パラメータ!$B$12)</f>
        <v>24</v>
      </c>
      <c r="K4" s="23">
        <f>パラメータ!$B$39</f>
        <v>1</v>
      </c>
      <c r="L4" s="23">
        <f>K4*(1+パラメータ!$B$9)^(A4-1)*IF(B4="ボス",パラメータ!$B$10,1)</f>
        <v>1</v>
      </c>
      <c r="M4" s="23">
        <f>IF(B4="ボス",L4*パラメータ!$B$11,0)</f>
        <v>0</v>
      </c>
      <c r="N4" s="23">
        <f>MAX(0,I4-M4)</f>
        <v>144</v>
      </c>
      <c r="O4" s="24">
        <f>F4/L4</f>
        <v>36</v>
      </c>
      <c r="P4" s="23">
        <f>J4*L4</f>
        <v>24</v>
      </c>
      <c r="Q4" s="23">
        <f>IF(N4&lt;=0,9999,P4/N4)</f>
        <v>0.16666666666666666</v>
      </c>
      <c r="R4" s="25">
        <f>ROUNDUP(P4/MAX(F4,0.000001),0)</f>
        <v>1</v>
      </c>
      <c r="S4" s="23">
        <f>MIN(パラメータ!$B$38,パラメータ!$B$38*SQRT(MAX(0,F4/L4)))</f>
        <v>1.2</v>
      </c>
      <c r="T4" s="24">
        <f>パラメータ!$B$24*(1+パラメータ!$C$24)^(パラメータ!$D$24+INT((A4-1)/パラメータ!$E$24))</f>
        <v>0.08</v>
      </c>
      <c r="U4" s="22" t="str">
        <f>IF(O4&lt;パラメータ!$B$8,"リセット推奨","継続可能")</f>
        <v>継続可能</v>
      </c>
      <c r="V4" s="33" t="str">
        <f>IF(B4="ボス","一般外殻＋回復コア","一般ガラス")</f>
        <v>一般ガラス</v>
      </c>
      <c r="W4" s="26">
        <f>ROUNDUP(J4/(パラメータ!$B$37^2),0)</f>
        <v>17</v>
      </c>
    </row>
    <row r="5" spans="1:23">
      <c r="A5" s="21">
        <v>2</v>
      </c>
      <c r="B5" s="22" t="str">
        <f>IF(MOD(A5,パラメータ!$B$15)=0,"ボス","一般")</f>
        <v>一般</v>
      </c>
      <c r="C5" s="23">
        <f>パラメータ!$B$19*(1+パラメータ!$C$19)^(パラメータ!$D$19+INT((A5-1)/パラメータ!$E$19))</f>
        <v>1</v>
      </c>
      <c r="D5" s="23">
        <f>パラメータ!$B$20*(1+パラメータ!$C$20)^(パラメータ!$D$20+INT((A5-1)/パラメータ!$E$20))</f>
        <v>12</v>
      </c>
      <c r="E5" s="24">
        <f>MIN(1,パラメータ!$B$21*(1+パラメータ!$C$21)^(パラメータ!$D$21+INT((A5-1)/パラメータ!$E$21)))</f>
        <v>0.5</v>
      </c>
      <c r="F5" s="23">
        <f>0.5*C5*D5^2*E5</f>
        <v>36</v>
      </c>
      <c r="G5" s="23">
        <f>パラメータ!$B$22*(1+パラメータ!$C$22)^(パラメータ!$D$22+INT((A5-1)/パラメータ!$E$22))</f>
        <v>4</v>
      </c>
      <c r="H5" s="23">
        <f>パラメータ!$B$23+パラメータ!$C$23*(パラメータ!$D$23+INT((A5-1)/パラメータ!$E$23))</f>
        <v>1</v>
      </c>
      <c r="I5" s="23">
        <f>F5*G5*H5</f>
        <v>144</v>
      </c>
      <c r="J5" s="23">
        <f>IF(B5="ボス",パラメータ!$B$13+パラメータ!$B$14,パラメータ!$B$12)</f>
        <v>24</v>
      </c>
      <c r="K5" s="23">
        <f>パラメータ!$B$39</f>
        <v>1</v>
      </c>
      <c r="L5" s="23">
        <f>K5*(1+パラメータ!$B$9)^(A5-1)*IF(B5="ボス",パラメータ!$B$10,1)</f>
        <v>1.1599999999999999</v>
      </c>
      <c r="M5" s="23">
        <f>IF(B5="ボス",L5*パラメータ!$B$11,0)</f>
        <v>0</v>
      </c>
      <c r="N5" s="23">
        <f>MAX(0,I5-M5)</f>
        <v>144</v>
      </c>
      <c r="O5" s="24">
        <f>F5/L5</f>
        <v>31.03448275862069</v>
      </c>
      <c r="P5" s="23">
        <f>J5*L5</f>
        <v>27.839999999999996</v>
      </c>
      <c r="Q5" s="23">
        <f>IF(N5&lt;=0,9999,P5/N5)</f>
        <v>0.1933333333333333</v>
      </c>
      <c r="R5" s="25">
        <f>ROUNDUP(P5/MAX(F5,0.000001),0)</f>
        <v>1</v>
      </c>
      <c r="S5" s="23">
        <f>MIN(パラメータ!$B$38,パラメータ!$B$38*SQRT(MAX(0,F5/L5)))</f>
        <v>1.2</v>
      </c>
      <c r="T5" s="24">
        <f>パラメータ!$B$24*(1+パラメータ!$C$24)^(パラメータ!$D$24+INT((A5-1)/パラメータ!$E$24))</f>
        <v>0.08</v>
      </c>
      <c r="U5" s="22" t="str">
        <f>IF(O5&lt;パラメータ!$B$8,"リセット推奨","継続可能")</f>
        <v>継続可能</v>
      </c>
      <c r="V5" s="33" t="str">
        <f>IF(B5="ボス","一般外殻＋回復コア","一般ガラス")</f>
        <v>一般ガラス</v>
      </c>
      <c r="W5" s="26">
        <f>ROUNDUP(J5/(パラメータ!$B$37^2),0)</f>
        <v>17</v>
      </c>
    </row>
    <row r="6" spans="1:23">
      <c r="A6" s="21">
        <v>3</v>
      </c>
      <c r="B6" s="22" t="str">
        <f>IF(MOD(A6,パラメータ!$B$15)=0,"ボス","一般")</f>
        <v>一般</v>
      </c>
      <c r="C6" s="23">
        <f>パラメータ!$B$19*(1+パラメータ!$C$19)^(パラメータ!$D$19+INT((A6-1)/パラメータ!$E$19))</f>
        <v>1.04</v>
      </c>
      <c r="D6" s="23">
        <f>パラメータ!$B$20*(1+パラメータ!$C$20)^(パラメータ!$D$20+INT((A6-1)/パラメータ!$E$20))</f>
        <v>12.24</v>
      </c>
      <c r="E6" s="24">
        <f>MIN(1,パラメータ!$B$21*(1+パラメータ!$C$21)^(パラメータ!$D$21+INT((A6-1)/パラメータ!$E$21)))</f>
        <v>0.5</v>
      </c>
      <c r="F6" s="23">
        <f>0.5*C6*D6^2*E6</f>
        <v>38.952576000000001</v>
      </c>
      <c r="G6" s="23">
        <f>パラメータ!$B$22*(1+パラメータ!$C$22)^(パラメータ!$D$22+INT((A6-1)/パラメータ!$E$22))</f>
        <v>4.12</v>
      </c>
      <c r="H6" s="23">
        <f>パラメータ!$B$23+パラメータ!$C$23*(パラメータ!$D$23+INT((A6-1)/パラメータ!$E$23))</f>
        <v>1</v>
      </c>
      <c r="I6" s="23">
        <f>F6*G6*H6</f>
        <v>160.48461312000001</v>
      </c>
      <c r="J6" s="23">
        <f>IF(B6="ボス",パラメータ!$B$13+パラメータ!$B$14,パラメータ!$B$12)</f>
        <v>24</v>
      </c>
      <c r="K6" s="23">
        <f>パラメータ!$B$39</f>
        <v>1</v>
      </c>
      <c r="L6" s="23">
        <f>K6*(1+パラメータ!$B$9)^(A6-1)*IF(B6="ボス",パラメータ!$B$10,1)</f>
        <v>1.3455999999999999</v>
      </c>
      <c r="M6" s="23">
        <f>IF(B6="ボス",L6*パラメータ!$B$11,0)</f>
        <v>0</v>
      </c>
      <c r="N6" s="23">
        <f>MAX(0,I6-M6)</f>
        <v>160.48461312000001</v>
      </c>
      <c r="O6" s="24">
        <f>F6/L6</f>
        <v>28.948109393579074</v>
      </c>
      <c r="P6" s="23">
        <f>J6*L6</f>
        <v>32.294399999999996</v>
      </c>
      <c r="Q6" s="23">
        <f>IF(N6&lt;=0,9999,P6/N6)</f>
        <v>0.20123050660222694</v>
      </c>
      <c r="R6" s="25">
        <f>ROUNDUP(P6/MAX(F6,0.000001),0)</f>
        <v>1</v>
      </c>
      <c r="S6" s="23">
        <f>MIN(パラメータ!$B$38,パラメータ!$B$38*SQRT(MAX(0,F6/L6)))</f>
        <v>1.2</v>
      </c>
      <c r="T6" s="24">
        <f>パラメータ!$B$24*(1+パラメータ!$C$24)^(パラメータ!$D$24+INT((A6-1)/パラメータ!$E$24))</f>
        <v>0.08</v>
      </c>
      <c r="U6" s="22" t="str">
        <f>IF(O6&lt;パラメータ!$B$8,"リセット推奨","継続可能")</f>
        <v>継続可能</v>
      </c>
      <c r="V6" s="33" t="str">
        <f>IF(B6="ボス","一般外殻＋回復コア","一般ガラス")</f>
        <v>一般ガラス</v>
      </c>
      <c r="W6" s="26">
        <f>ROUNDUP(J6/(パラメータ!$B$37^2),0)</f>
        <v>17</v>
      </c>
    </row>
    <row r="7" spans="1:23">
      <c r="A7" s="21">
        <v>4</v>
      </c>
      <c r="B7" s="22" t="str">
        <f>IF(MOD(A7,パラメータ!$B$15)=0,"ボス","一般")</f>
        <v>一般</v>
      </c>
      <c r="C7" s="23">
        <f>パラメータ!$B$19*(1+パラメータ!$C$19)^(パラメータ!$D$19+INT((A7-1)/パラメータ!$E$19))</f>
        <v>1.04</v>
      </c>
      <c r="D7" s="23">
        <f>パラメータ!$B$20*(1+パラメータ!$C$20)^(パラメータ!$D$20+INT((A7-1)/パラメータ!$E$20))</f>
        <v>12.24</v>
      </c>
      <c r="E7" s="24">
        <f>MIN(1,パラメータ!$B$21*(1+パラメータ!$C$21)^(パラメータ!$D$21+INT((A7-1)/パラメータ!$E$21)))</f>
        <v>0.51500000000000001</v>
      </c>
      <c r="F7" s="23">
        <f>0.5*C7*D7^2*E7</f>
        <v>40.121153280000001</v>
      </c>
      <c r="G7" s="23">
        <f>パラメータ!$B$22*(1+パラメータ!$C$22)^(パラメータ!$D$22+INT((A7-1)/パラメータ!$E$22))</f>
        <v>4.12</v>
      </c>
      <c r="H7" s="23">
        <f>パラメータ!$B$23+パラメータ!$C$23*(パラメータ!$D$23+INT((A7-1)/パラメータ!$E$23))</f>
        <v>1</v>
      </c>
      <c r="I7" s="23">
        <f>F7*G7*H7</f>
        <v>165.29915151360001</v>
      </c>
      <c r="J7" s="23">
        <f>IF(B7="ボス",パラメータ!$B$13+パラメータ!$B$14,パラメータ!$B$12)</f>
        <v>24</v>
      </c>
      <c r="K7" s="23">
        <f>パラメータ!$B$39</f>
        <v>1</v>
      </c>
      <c r="L7" s="23">
        <f>K7*(1+パラメータ!$B$9)^(A7-1)*IF(B7="ボス",パラメータ!$B$10,1)</f>
        <v>1.5608959999999998</v>
      </c>
      <c r="M7" s="23">
        <f>IF(B7="ボス",L7*パラメータ!$B$11,0)</f>
        <v>0</v>
      </c>
      <c r="N7" s="23">
        <f>MAX(0,I7-M7)</f>
        <v>165.29915151360001</v>
      </c>
      <c r="O7" s="24">
        <f>F7/L7</f>
        <v>25.703924720160732</v>
      </c>
      <c r="P7" s="23">
        <f>J7*L7</f>
        <v>37.461503999999998</v>
      </c>
      <c r="Q7" s="23">
        <f>IF(N7&lt;=0,9999,P7/N7)</f>
        <v>0.22662853170736239</v>
      </c>
      <c r="R7" s="25">
        <f>ROUNDUP(P7/MAX(F7,0.000001),0)</f>
        <v>1</v>
      </c>
      <c r="S7" s="23">
        <f>MIN(パラメータ!$B$38,パラメータ!$B$38*SQRT(MAX(0,F7/L7)))</f>
        <v>1.2</v>
      </c>
      <c r="T7" s="24">
        <f>パラメータ!$B$24*(1+パラメータ!$C$24)^(パラメータ!$D$24+INT((A7-1)/パラメータ!$E$24))</f>
        <v>8.4000000000000005E-2</v>
      </c>
      <c r="U7" s="22" t="str">
        <f>IF(O7&lt;パラメータ!$B$8,"リセット推奨","継続可能")</f>
        <v>継続可能</v>
      </c>
      <c r="V7" s="33" t="str">
        <f>IF(B7="ボス","一般外殻＋回復コア","一般ガラス")</f>
        <v>一般ガラス</v>
      </c>
      <c r="W7" s="26">
        <f>ROUNDUP(J7/(パラメータ!$B$37^2),0)</f>
        <v>17</v>
      </c>
    </row>
    <row r="8" spans="1:23">
      <c r="A8" s="21">
        <v>5</v>
      </c>
      <c r="B8" s="22" t="str">
        <f>IF(MOD(A8,パラメータ!$B$15)=0,"ボス","一般")</f>
        <v>ボス</v>
      </c>
      <c r="C8" s="23">
        <f>パラメータ!$B$19*(1+パラメータ!$C$19)^(パラメータ!$D$19+INT((A8-1)/パラメータ!$E$19))</f>
        <v>1.0816000000000001</v>
      </c>
      <c r="D8" s="23">
        <f>パラメータ!$B$20*(1+パラメータ!$C$20)^(パラメータ!$D$20+INT((A8-1)/パラメータ!$E$20))</f>
        <v>12.4848</v>
      </c>
      <c r="E8" s="24">
        <f>MIN(1,パラメータ!$B$21*(1+パラメータ!$C$21)^(パラメータ!$D$21+INT((A8-1)/パラメータ!$E$21)))</f>
        <v>0.51500000000000001</v>
      </c>
      <c r="F8" s="23">
        <f>0.5*C8*D8^2*E8</f>
        <v>43.411729787412483</v>
      </c>
      <c r="G8" s="23">
        <f>パラメータ!$B$22*(1+パラメータ!$C$22)^(パラメータ!$D$22+INT((A8-1)/パラメータ!$E$22))</f>
        <v>4.2435999999999998</v>
      </c>
      <c r="H8" s="23">
        <f>パラメータ!$B$23+パラメータ!$C$23*(パラメータ!$D$23+INT((A8-1)/パラメータ!$E$23))</f>
        <v>1</v>
      </c>
      <c r="I8" s="23">
        <f>F8*G8*H8</f>
        <v>184.22201652586361</v>
      </c>
      <c r="J8" s="23">
        <f>IF(B8="ボス",パラメータ!$B$13+パラメータ!$B$14,パラメータ!$B$12)</f>
        <v>27</v>
      </c>
      <c r="K8" s="23">
        <f>パラメータ!$B$39</f>
        <v>1</v>
      </c>
      <c r="L8" s="23">
        <f>K8*(1+パラメータ!$B$9)^(A8-1)*IF(B8="ボス",パラメータ!$B$10,1)</f>
        <v>10.863836159999998</v>
      </c>
      <c r="M8" s="23">
        <f>IF(B8="ボス",L8*パラメータ!$B$11,0)</f>
        <v>1.3036603391999997</v>
      </c>
      <c r="N8" s="23">
        <f>MAX(0,I8-M8)</f>
        <v>182.9183561866636</v>
      </c>
      <c r="O8" s="24">
        <f>F8/L8</f>
        <v>3.9959853175300917</v>
      </c>
      <c r="P8" s="23">
        <f>J8*L8</f>
        <v>293.32357631999997</v>
      </c>
      <c r="Q8" s="23">
        <f>IF(N8&lt;=0,9999,P8/N8)</f>
        <v>1.6035764940981134</v>
      </c>
      <c r="R8" s="25">
        <f>ROUNDUP(P8/MAX(F8,0.000001),0)</f>
        <v>7</v>
      </c>
      <c r="S8" s="23">
        <f>MIN(パラメータ!$B$38,パラメータ!$B$38*SQRT(MAX(0,F8/L8)))</f>
        <v>1.2</v>
      </c>
      <c r="T8" s="24">
        <f>パラメータ!$B$24*(1+パラメータ!$C$24)^(パラメータ!$D$24+INT((A8-1)/パラメータ!$E$24))</f>
        <v>8.4000000000000005E-2</v>
      </c>
      <c r="U8" s="22" t="str">
        <f>IF(O8&lt;パラメータ!$B$8,"リセット推奨","継続可能")</f>
        <v>継続可能</v>
      </c>
      <c r="V8" s="33" t="str">
        <f>IF(B8="ボス","一般外殻＋回復コア","一般ガラス")</f>
        <v>一般外殻＋回復コア</v>
      </c>
      <c r="W8" s="26">
        <f>ROUNDUP(J8/(パラメータ!$B$37^2),0)</f>
        <v>19</v>
      </c>
    </row>
    <row r="9" spans="1:23">
      <c r="A9" s="21">
        <v>6</v>
      </c>
      <c r="B9" s="22" t="str">
        <f>IF(MOD(A9,パラメータ!$B$15)=0,"ボス","一般")</f>
        <v>一般</v>
      </c>
      <c r="C9" s="23">
        <f>パラメータ!$B$19*(1+パラメータ!$C$19)^(パラメータ!$D$19+INT((A9-1)/パラメータ!$E$19))</f>
        <v>1.0816000000000001</v>
      </c>
      <c r="D9" s="23">
        <f>パラメータ!$B$20*(1+パラメータ!$C$20)^(パラメータ!$D$20+INT((A9-1)/パラメータ!$E$20))</f>
        <v>12.4848</v>
      </c>
      <c r="E9" s="24">
        <f>MIN(1,パラメータ!$B$21*(1+パラメータ!$C$21)^(パラメータ!$D$21+INT((A9-1)/パラメータ!$E$21)))</f>
        <v>0.51500000000000001</v>
      </c>
      <c r="F9" s="23">
        <f>0.5*C9*D9^2*E9</f>
        <v>43.411729787412483</v>
      </c>
      <c r="G9" s="23">
        <f>パラメータ!$B$22*(1+パラメータ!$C$22)^(パラメータ!$D$22+INT((A9-1)/パラメータ!$E$22))</f>
        <v>4.2435999999999998</v>
      </c>
      <c r="H9" s="23">
        <f>パラメータ!$B$23+パラメータ!$C$23*(パラメータ!$D$23+INT((A9-1)/パラメータ!$E$23))</f>
        <v>1</v>
      </c>
      <c r="I9" s="23">
        <f>F9*G9*H9</f>
        <v>184.22201652586361</v>
      </c>
      <c r="J9" s="23">
        <f>IF(B9="ボス",パラメータ!$B$13+パラメータ!$B$14,パラメータ!$B$12)</f>
        <v>24</v>
      </c>
      <c r="K9" s="23">
        <f>パラメータ!$B$39</f>
        <v>1</v>
      </c>
      <c r="L9" s="23">
        <f>K9*(1+パラメータ!$B$9)^(A9-1)*IF(B9="ボス",パラメータ!$B$10,1)</f>
        <v>2.1003416575999996</v>
      </c>
      <c r="M9" s="23">
        <f>IF(B9="ボス",L9*パラメータ!$B$11,0)</f>
        <v>0</v>
      </c>
      <c r="N9" s="23">
        <f>MAX(0,I9-M9)</f>
        <v>184.22201652586361</v>
      </c>
      <c r="O9" s="24">
        <f>F9/L9</f>
        <v>20.66888957343151</v>
      </c>
      <c r="P9" s="23">
        <f>J9*L9</f>
        <v>50.40819978239999</v>
      </c>
      <c r="Q9" s="23">
        <f>IF(N9&lt;=0,9999,P9/N9)</f>
        <v>0.27362744547594831</v>
      </c>
      <c r="R9" s="25">
        <f>ROUNDUP(P9/MAX(F9,0.000001),0)</f>
        <v>2</v>
      </c>
      <c r="S9" s="23">
        <f>MIN(パラメータ!$B$38,パラメータ!$B$38*SQRT(MAX(0,F9/L9)))</f>
        <v>1.2</v>
      </c>
      <c r="T9" s="24">
        <f>パラメータ!$B$24*(1+パラメータ!$C$24)^(パラメータ!$D$24+INT((A9-1)/パラメータ!$E$24))</f>
        <v>8.4000000000000005E-2</v>
      </c>
      <c r="U9" s="22" t="str">
        <f>IF(O9&lt;パラメータ!$B$8,"リセット推奨","継続可能")</f>
        <v>継続可能</v>
      </c>
      <c r="V9" s="33" t="str">
        <f>IF(B9="ボス","一般外殻＋回復コア","一般ガラス")</f>
        <v>一般ガラス</v>
      </c>
      <c r="W9" s="26">
        <f>ROUNDUP(J9/(パラメータ!$B$37^2),0)</f>
        <v>17</v>
      </c>
    </row>
    <row r="10" spans="1:23">
      <c r="A10" s="21">
        <v>7</v>
      </c>
      <c r="B10" s="22" t="str">
        <f>IF(MOD(A10,パラメータ!$B$15)=0,"ボス","一般")</f>
        <v>一般</v>
      </c>
      <c r="C10" s="23">
        <f>パラメータ!$B$19*(1+パラメータ!$C$19)^(パラメータ!$D$19+INT((A10-1)/パラメータ!$E$19))</f>
        <v>1.1248640000000001</v>
      </c>
      <c r="D10" s="23">
        <f>パラメータ!$B$20*(1+パラメータ!$C$20)^(パラメータ!$D$20+INT((A10-1)/パラメータ!$E$20))</f>
        <v>12.734496</v>
      </c>
      <c r="E10" s="24">
        <f>MIN(1,パラメータ!$B$21*(1+パラメータ!$C$21)^(パラメータ!$D$21+INT((A10-1)/パラメータ!$E$21)))</f>
        <v>0.53044999999999998</v>
      </c>
      <c r="F10" s="23">
        <f>0.5*C10*D10^2*E10</f>
        <v>48.381351804186615</v>
      </c>
      <c r="G10" s="23">
        <f>パラメータ!$B$22*(1+パラメータ!$C$22)^(パラメータ!$D$22+INT((A10-1)/パラメータ!$E$22))</f>
        <v>4.370908</v>
      </c>
      <c r="H10" s="23">
        <f>パラメータ!$B$23+パラメータ!$C$23*(パラメータ!$D$23+INT((A10-1)/パラメータ!$E$23))</f>
        <v>1</v>
      </c>
      <c r="I10" s="23">
        <f>F10*G10*H10</f>
        <v>211.4704376517337</v>
      </c>
      <c r="J10" s="23">
        <f>IF(B10="ボス",パラメータ!$B$13+パラメータ!$B$14,パラメータ!$B$12)</f>
        <v>24</v>
      </c>
      <c r="K10" s="23">
        <f>パラメータ!$B$39</f>
        <v>1</v>
      </c>
      <c r="L10" s="23">
        <f>K10*(1+パラメータ!$B$9)^(A10-1)*IF(B10="ボス",パラメータ!$B$10,1)</f>
        <v>2.4363963228159995</v>
      </c>
      <c r="M10" s="23">
        <f>IF(B10="ボス",L10*パラメータ!$B$11,0)</f>
        <v>0</v>
      </c>
      <c r="N10" s="23">
        <f>MAX(0,I10-M10)</f>
        <v>211.4704376517337</v>
      </c>
      <c r="O10" s="24">
        <f>F10/L10</f>
        <v>19.857751118367801</v>
      </c>
      <c r="P10" s="23">
        <f>J10*L10</f>
        <v>58.473511747583984</v>
      </c>
      <c r="Q10" s="23">
        <f>IF(N10&lt;=0,9999,P10/N10)</f>
        <v>0.2765091536996902</v>
      </c>
      <c r="R10" s="25">
        <f>ROUNDUP(P10/MAX(F10,0.000001),0)</f>
        <v>2</v>
      </c>
      <c r="S10" s="23">
        <f>MIN(パラメータ!$B$38,パラメータ!$B$38*SQRT(MAX(0,F10/L10)))</f>
        <v>1.2</v>
      </c>
      <c r="T10" s="24">
        <f>パラメータ!$B$24*(1+パラメータ!$C$24)^(パラメータ!$D$24+INT((A10-1)/パラメータ!$E$24))</f>
        <v>8.8200000000000001E-2</v>
      </c>
      <c r="U10" s="22" t="str">
        <f>IF(O10&lt;パラメータ!$B$8,"リセット推奨","継続可能")</f>
        <v>継続可能</v>
      </c>
      <c r="V10" s="33" t="str">
        <f>IF(B10="ボス","一般外殻＋回復コア","一般ガラス")</f>
        <v>一般ガラス</v>
      </c>
      <c r="W10" s="26">
        <f>ROUNDUP(J10/(パラメータ!$B$37^2),0)</f>
        <v>17</v>
      </c>
    </row>
    <row r="11" spans="1:23">
      <c r="A11" s="21">
        <v>8</v>
      </c>
      <c r="B11" s="22" t="str">
        <f>IF(MOD(A11,パラメータ!$B$15)=0,"ボス","一般")</f>
        <v>一般</v>
      </c>
      <c r="C11" s="23">
        <f>パラメータ!$B$19*(1+パラメータ!$C$19)^(パラメータ!$D$19+INT((A11-1)/パラメータ!$E$19))</f>
        <v>1.1248640000000001</v>
      </c>
      <c r="D11" s="23">
        <f>パラメータ!$B$20*(1+パラメータ!$C$20)^(パラメータ!$D$20+INT((A11-1)/パラメータ!$E$20))</f>
        <v>12.734496</v>
      </c>
      <c r="E11" s="24">
        <f>MIN(1,パラメータ!$B$21*(1+パラメータ!$C$21)^(パラメータ!$D$21+INT((A11-1)/パラメータ!$E$21)))</f>
        <v>0.53044999999999998</v>
      </c>
      <c r="F11" s="23">
        <f>0.5*C11*D11^2*E11</f>
        <v>48.381351804186615</v>
      </c>
      <c r="G11" s="23">
        <f>パラメータ!$B$22*(1+パラメータ!$C$22)^(パラメータ!$D$22+INT((A11-1)/パラメータ!$E$22))</f>
        <v>4.370908</v>
      </c>
      <c r="H11" s="23">
        <f>パラメータ!$B$23+パラメータ!$C$23*(パラメータ!$D$23+INT((A11-1)/パラメータ!$E$23))</f>
        <v>1</v>
      </c>
      <c r="I11" s="23">
        <f>F11*G11*H11</f>
        <v>211.4704376517337</v>
      </c>
      <c r="J11" s="23">
        <f>IF(B11="ボス",パラメータ!$B$13+パラメータ!$B$14,パラメータ!$B$12)</f>
        <v>24</v>
      </c>
      <c r="K11" s="23">
        <f>パラメータ!$B$39</f>
        <v>1</v>
      </c>
      <c r="L11" s="23">
        <f>K11*(1+パラメータ!$B$9)^(A11-1)*IF(B11="ボス",パラメータ!$B$10,1)</f>
        <v>2.8262197344665592</v>
      </c>
      <c r="M11" s="23">
        <f>IF(B11="ボス",L11*パラメータ!$B$11,0)</f>
        <v>0</v>
      </c>
      <c r="N11" s="23">
        <f>MAX(0,I11-M11)</f>
        <v>211.4704376517337</v>
      </c>
      <c r="O11" s="24">
        <f>F11/L11</f>
        <v>17.118750964110177</v>
      </c>
      <c r="P11" s="23">
        <f>J11*L11</f>
        <v>67.829273627197423</v>
      </c>
      <c r="Q11" s="23">
        <f>IF(N11&lt;=0,9999,P11/N11)</f>
        <v>0.32075061829164064</v>
      </c>
      <c r="R11" s="25">
        <f>ROUNDUP(P11/MAX(F11,0.000001),0)</f>
        <v>2</v>
      </c>
      <c r="S11" s="23">
        <f>MIN(パラメータ!$B$38,パラメータ!$B$38*SQRT(MAX(0,F11/L11)))</f>
        <v>1.2</v>
      </c>
      <c r="T11" s="24">
        <f>パラメータ!$B$24*(1+パラメータ!$C$24)^(パラメータ!$D$24+INT((A11-1)/パラメータ!$E$24))</f>
        <v>8.8200000000000001E-2</v>
      </c>
      <c r="U11" s="22" t="str">
        <f>IF(O11&lt;パラメータ!$B$8,"リセット推奨","継続可能")</f>
        <v>継続可能</v>
      </c>
      <c r="V11" s="33" t="str">
        <f>IF(B11="ボス","一般外殻＋回復コア","一般ガラス")</f>
        <v>一般ガラス</v>
      </c>
      <c r="W11" s="26">
        <f>ROUNDUP(J11/(パラメータ!$B$37^2),0)</f>
        <v>17</v>
      </c>
    </row>
    <row r="12" spans="1:23">
      <c r="A12" s="21">
        <v>9</v>
      </c>
      <c r="B12" s="22" t="str">
        <f>IF(MOD(A12,パラメータ!$B$15)=0,"ボス","一般")</f>
        <v>一般</v>
      </c>
      <c r="C12" s="23">
        <f>パラメータ!$B$19*(1+パラメータ!$C$19)^(パラメータ!$D$19+INT((A12-1)/パラメータ!$E$19))</f>
        <v>1.1698585600000002</v>
      </c>
      <c r="D12" s="23">
        <f>パラメータ!$B$20*(1+パラメータ!$C$20)^(パラメータ!$D$20+INT((A12-1)/パラメータ!$E$20))</f>
        <v>12.989185920000001</v>
      </c>
      <c r="E12" s="24">
        <f>MIN(1,パラメータ!$B$21*(1+パラメータ!$C$21)^(パラメータ!$D$21+INT((A12-1)/パラメータ!$E$21)))</f>
        <v>0.53044999999999998</v>
      </c>
      <c r="F12" s="23">
        <f>0.5*C12*D12^2*E12</f>
        <v>52.349396753758796</v>
      </c>
      <c r="G12" s="23">
        <f>パラメータ!$B$22*(1+パラメータ!$C$22)^(パラメータ!$D$22+INT((A12-1)/パラメータ!$E$22))</f>
        <v>4.5020352399999997</v>
      </c>
      <c r="H12" s="23">
        <f>パラメータ!$B$23+パラメータ!$C$23*(パラメータ!$D$23+INT((A12-1)/パラメータ!$E$23))</f>
        <v>1</v>
      </c>
      <c r="I12" s="23">
        <f>F12*G12*H12</f>
        <v>235.67882897816369</v>
      </c>
      <c r="J12" s="23">
        <f>IF(B12="ボス",パラメータ!$B$13+パラメータ!$B$14,パラメータ!$B$12)</f>
        <v>24</v>
      </c>
      <c r="K12" s="23">
        <f>パラメータ!$B$39</f>
        <v>1</v>
      </c>
      <c r="L12" s="23">
        <f>K12*(1+パラメータ!$B$9)^(A12-1)*IF(B12="ボス",パラメータ!$B$10,1)</f>
        <v>3.2784148919812086</v>
      </c>
      <c r="M12" s="23">
        <f>IF(B12="ボス",L12*パラメータ!$B$11,0)</f>
        <v>0</v>
      </c>
      <c r="N12" s="23">
        <f>MAX(0,I12-M12)</f>
        <v>235.67882897816369</v>
      </c>
      <c r="O12" s="24">
        <f>F12/L12</f>
        <v>15.96789865791607</v>
      </c>
      <c r="P12" s="23">
        <f>J12*L12</f>
        <v>78.681957407549007</v>
      </c>
      <c r="Q12" s="23">
        <f>IF(N12&lt;=0,9999,P12/N12)</f>
        <v>0.33385246247485006</v>
      </c>
      <c r="R12" s="25">
        <f>ROUNDUP(P12/MAX(F12,0.000001),0)</f>
        <v>2</v>
      </c>
      <c r="S12" s="23">
        <f>MIN(パラメータ!$B$38,パラメータ!$B$38*SQRT(MAX(0,F12/L12)))</f>
        <v>1.2</v>
      </c>
      <c r="T12" s="24">
        <f>パラメータ!$B$24*(1+パラメータ!$C$24)^(パラメータ!$D$24+INT((A12-1)/パラメータ!$E$24))</f>
        <v>8.8200000000000001E-2</v>
      </c>
      <c r="U12" s="22" t="str">
        <f>IF(O12&lt;パラメータ!$B$8,"リセット推奨","継続可能")</f>
        <v>継続可能</v>
      </c>
      <c r="V12" s="33" t="str">
        <f>IF(B12="ボス","一般外殻＋回復コア","一般ガラス")</f>
        <v>一般ガラス</v>
      </c>
      <c r="W12" s="26">
        <f>ROUNDUP(J12/(パラメータ!$B$37^2),0)</f>
        <v>17</v>
      </c>
    </row>
    <row r="13" spans="1:23">
      <c r="A13" s="21">
        <v>10</v>
      </c>
      <c r="B13" s="22" t="str">
        <f>IF(MOD(A13,パラメータ!$B$15)=0,"ボス","一般")</f>
        <v>ボス</v>
      </c>
      <c r="C13" s="23">
        <f>パラメータ!$B$19*(1+パラメータ!$C$19)^(パラメータ!$D$19+INT((A13-1)/パラメータ!$E$19))</f>
        <v>1.1698585600000002</v>
      </c>
      <c r="D13" s="23">
        <f>パラメータ!$B$20*(1+パラメータ!$C$20)^(パラメータ!$D$20+INT((A13-1)/パラメータ!$E$20))</f>
        <v>12.989185920000001</v>
      </c>
      <c r="E13" s="24">
        <f>MIN(1,パラメータ!$B$21*(1+パラメータ!$C$21)^(パラメータ!$D$21+INT((A13-1)/パラメータ!$E$21)))</f>
        <v>0.5463635</v>
      </c>
      <c r="F13" s="23">
        <f>0.5*C13*D13^2*E13</f>
        <v>53.919878656371559</v>
      </c>
      <c r="G13" s="23">
        <f>パラメータ!$B$22*(1+パラメータ!$C$22)^(パラメータ!$D$22+INT((A13-1)/パラメータ!$E$22))</f>
        <v>4.5020352399999997</v>
      </c>
      <c r="H13" s="23">
        <f>パラメータ!$B$23+パラメータ!$C$23*(パラメータ!$D$23+INT((A13-1)/パラメータ!$E$23))</f>
        <v>1</v>
      </c>
      <c r="I13" s="23">
        <f>F13*G13*H13</f>
        <v>242.74919384750859</v>
      </c>
      <c r="J13" s="23">
        <f>IF(B13="ボス",パラメータ!$B$13+パラメータ!$B$14,パラメータ!$B$12)</f>
        <v>27</v>
      </c>
      <c r="K13" s="23">
        <f>パラメータ!$B$39</f>
        <v>1</v>
      </c>
      <c r="L13" s="23">
        <f>K13*(1+パラメータ!$B$9)^(A13-1)*IF(B13="ボス",パラメータ!$B$10,1)</f>
        <v>22.817767648189211</v>
      </c>
      <c r="M13" s="23">
        <f>IF(B13="ボス",L13*パラメータ!$B$11,0)</f>
        <v>2.7381321177827052</v>
      </c>
      <c r="N13" s="23">
        <f>MAX(0,I13-M13)</f>
        <v>240.0110617297259</v>
      </c>
      <c r="O13" s="24">
        <f>F13/L13</f>
        <v>2.3630654623065448</v>
      </c>
      <c r="P13" s="23">
        <f>J13*L13</f>
        <v>616.07972650110867</v>
      </c>
      <c r="Q13" s="23">
        <f>IF(N13&lt;=0,9999,P13/N13)</f>
        <v>2.5668805515092052</v>
      </c>
      <c r="R13" s="25">
        <f>ROUNDUP(P13/MAX(F13,0.000001),0)</f>
        <v>12</v>
      </c>
      <c r="S13" s="23">
        <f>MIN(パラメータ!$B$38,パラメータ!$B$38*SQRT(MAX(0,F13/L13)))</f>
        <v>1.2</v>
      </c>
      <c r="T13" s="24">
        <f>パラメータ!$B$24*(1+パラメータ!$C$24)^(パラメータ!$D$24+INT((A13-1)/パラメータ!$E$24))</f>
        <v>9.2610000000000012E-2</v>
      </c>
      <c r="U13" s="22" t="str">
        <f>IF(O13&lt;パラメータ!$B$8,"リセット推奨","継続可能")</f>
        <v>継続可能</v>
      </c>
      <c r="V13" s="33" t="str">
        <f>IF(B13="ボス","一般外殻＋回復コア","一般ガラス")</f>
        <v>一般外殻＋回復コア</v>
      </c>
      <c r="W13" s="26">
        <f>ROUNDUP(J13/(パラメータ!$B$37^2),0)</f>
        <v>19</v>
      </c>
    </row>
    <row r="14" spans="1:23">
      <c r="A14" s="21">
        <v>11</v>
      </c>
      <c r="B14" s="22" t="str">
        <f>IF(MOD(A14,パラメータ!$B$15)=0,"ボス","一般")</f>
        <v>一般</v>
      </c>
      <c r="C14" s="23">
        <f>パラメータ!$B$19*(1+パラメータ!$C$19)^(パラメータ!$D$19+INT((A14-1)/パラメータ!$E$19))</f>
        <v>1.2166529024000003</v>
      </c>
      <c r="D14" s="23">
        <f>パラメータ!$B$20*(1+パラメータ!$C$20)^(パラメータ!$D$20+INT((A14-1)/パラメータ!$E$20))</f>
        <v>13.2489696384</v>
      </c>
      <c r="E14" s="24">
        <f>MIN(1,パラメータ!$B$21*(1+パラメータ!$C$21)^(パラメータ!$D$21+INT((A14-1)/パラメータ!$E$21)))</f>
        <v>0.5463635</v>
      </c>
      <c r="F14" s="23">
        <f>0.5*C14*D14^2*E14</f>
        <v>58.342171424252527</v>
      </c>
      <c r="G14" s="23">
        <f>パラメータ!$B$22*(1+パラメータ!$C$22)^(パラメータ!$D$22+INT((A14-1)/パラメータ!$E$22))</f>
        <v>4.6370962971999994</v>
      </c>
      <c r="H14" s="23">
        <f>パラメータ!$B$23+パラメータ!$C$23*(パラメータ!$D$23+INT((A14-1)/パラメータ!$E$23))</f>
        <v>2</v>
      </c>
      <c r="I14" s="23">
        <f>F14*G14*H14</f>
        <v>541.07653416401797</v>
      </c>
      <c r="J14" s="23">
        <f>IF(B14="ボス",パラメータ!$B$13+パラメータ!$B$14,パラメータ!$B$12)</f>
        <v>24</v>
      </c>
      <c r="K14" s="23">
        <f>パラメータ!$B$39</f>
        <v>1</v>
      </c>
      <c r="L14" s="23">
        <f>K14*(1+パラメータ!$B$9)^(A14-1)*IF(B14="ボス",パラメータ!$B$10,1)</f>
        <v>4.4114350786499141</v>
      </c>
      <c r="M14" s="23">
        <f>IF(B14="ボス",L14*パラメータ!$B$11,0)</f>
        <v>0</v>
      </c>
      <c r="N14" s="23">
        <f>MAX(0,I14-M14)</f>
        <v>541.07653416401797</v>
      </c>
      <c r="O14" s="24">
        <f>F14/L14</f>
        <v>13.22521365136075</v>
      </c>
      <c r="P14" s="23">
        <f>J14*L14</f>
        <v>105.87444188759794</v>
      </c>
      <c r="Q14" s="23">
        <f>IF(N14&lt;=0,9999,P14/N14)</f>
        <v>0.19567368976955843</v>
      </c>
      <c r="R14" s="25">
        <f>ROUNDUP(P14/MAX(F14,0.000001),0)</f>
        <v>2</v>
      </c>
      <c r="S14" s="23">
        <f>MIN(パラメータ!$B$38,パラメータ!$B$38*SQRT(MAX(0,F14/L14)))</f>
        <v>1.2</v>
      </c>
      <c r="T14" s="24">
        <f>パラメータ!$B$24*(1+パラメータ!$C$24)^(パラメータ!$D$24+INT((A14-1)/パラメータ!$E$24))</f>
        <v>9.2610000000000012E-2</v>
      </c>
      <c r="U14" s="22" t="str">
        <f>IF(O14&lt;パラメータ!$B$8,"リセット推奨","継続可能")</f>
        <v>継続可能</v>
      </c>
      <c r="V14" s="33" t="str">
        <f>IF(B14="ボス","一般外殻＋回復コア","一般ガラス")</f>
        <v>一般ガラス</v>
      </c>
      <c r="W14" s="26">
        <f>ROUNDUP(J14/(パラメータ!$B$37^2),0)</f>
        <v>17</v>
      </c>
    </row>
    <row r="15" spans="1:23">
      <c r="A15" s="21">
        <v>12</v>
      </c>
      <c r="B15" s="22" t="str">
        <f>IF(MOD(A15,パラメータ!$B$15)=0,"ボス","一般")</f>
        <v>一般</v>
      </c>
      <c r="C15" s="23">
        <f>パラメータ!$B$19*(1+パラメータ!$C$19)^(パラメータ!$D$19+INT((A15-1)/パラメータ!$E$19))</f>
        <v>1.2166529024000003</v>
      </c>
      <c r="D15" s="23">
        <f>パラメータ!$B$20*(1+パラメータ!$C$20)^(パラメータ!$D$20+INT((A15-1)/パラメータ!$E$20))</f>
        <v>13.2489696384</v>
      </c>
      <c r="E15" s="24">
        <f>MIN(1,パラメータ!$B$21*(1+パラメータ!$C$21)^(パラメータ!$D$21+INT((A15-1)/パラメータ!$E$21)))</f>
        <v>0.5463635</v>
      </c>
      <c r="F15" s="23">
        <f>0.5*C15*D15^2*E15</f>
        <v>58.342171424252527</v>
      </c>
      <c r="G15" s="23">
        <f>パラメータ!$B$22*(1+パラメータ!$C$22)^(パラメータ!$D$22+INT((A15-1)/パラメータ!$E$22))</f>
        <v>4.6370962971999994</v>
      </c>
      <c r="H15" s="23">
        <f>パラメータ!$B$23+パラメータ!$C$23*(パラメータ!$D$23+INT((A15-1)/パラメータ!$E$23))</f>
        <v>2</v>
      </c>
      <c r="I15" s="23">
        <f>F15*G15*H15</f>
        <v>541.07653416401797</v>
      </c>
      <c r="J15" s="23">
        <f>IF(B15="ボス",パラメータ!$B$13+パラメータ!$B$14,パラメータ!$B$12)</f>
        <v>24</v>
      </c>
      <c r="K15" s="23">
        <f>パラメータ!$B$39</f>
        <v>1</v>
      </c>
      <c r="L15" s="23">
        <f>K15*(1+パラメータ!$B$9)^(A15-1)*IF(B15="ボス",パラメータ!$B$10,1)</f>
        <v>5.1172646912338999</v>
      </c>
      <c r="M15" s="23">
        <f>IF(B15="ボス",L15*パラメータ!$B$11,0)</f>
        <v>0</v>
      </c>
      <c r="N15" s="23">
        <f>MAX(0,I15-M15)</f>
        <v>541.07653416401797</v>
      </c>
      <c r="O15" s="24">
        <f>F15/L15</f>
        <v>11.401046251173062</v>
      </c>
      <c r="P15" s="23">
        <f>J15*L15</f>
        <v>122.81435258961361</v>
      </c>
      <c r="Q15" s="23">
        <f>IF(N15&lt;=0,9999,P15/N15)</f>
        <v>0.22698148013268779</v>
      </c>
      <c r="R15" s="25">
        <f>ROUNDUP(P15/MAX(F15,0.000001),0)</f>
        <v>3</v>
      </c>
      <c r="S15" s="23">
        <f>MIN(パラメータ!$B$38,パラメータ!$B$38*SQRT(MAX(0,F15/L15)))</f>
        <v>1.2</v>
      </c>
      <c r="T15" s="24">
        <f>パラメータ!$B$24*(1+パラメータ!$C$24)^(パラメータ!$D$24+INT((A15-1)/パラメータ!$E$24))</f>
        <v>9.2610000000000012E-2</v>
      </c>
      <c r="U15" s="22" t="str">
        <f>IF(O15&lt;パラメータ!$B$8,"リセット推奨","継続可能")</f>
        <v>継続可能</v>
      </c>
      <c r="V15" s="33" t="str">
        <f>IF(B15="ボス","一般外殻＋回復コア","一般ガラス")</f>
        <v>一般ガラス</v>
      </c>
      <c r="W15" s="26">
        <f>ROUNDUP(J15/(パラメータ!$B$37^2),0)</f>
        <v>17</v>
      </c>
    </row>
    <row r="16" spans="1:23">
      <c r="A16" s="21">
        <v>13</v>
      </c>
      <c r="B16" s="22" t="str">
        <f>IF(MOD(A16,パラメータ!$B$15)=0,"ボス","一般")</f>
        <v>一般</v>
      </c>
      <c r="C16" s="23">
        <f>パラメータ!$B$19*(1+パラメータ!$C$19)^(パラメータ!$D$19+INT((A16-1)/パラメータ!$E$19))</f>
        <v>1.2653190184960004</v>
      </c>
      <c r="D16" s="23">
        <f>パラメータ!$B$20*(1+パラメータ!$C$20)^(パラメータ!$D$20+INT((A16-1)/パラメータ!$E$20))</f>
        <v>13.513949031168</v>
      </c>
      <c r="E16" s="24">
        <f>MIN(1,パラメータ!$B$21*(1+パラメータ!$C$21)^(パラメータ!$D$21+INT((A16-1)/パラメータ!$E$21)))</f>
        <v>0.56275440499999996</v>
      </c>
      <c r="F16" s="23">
        <f>0.5*C16*D16^2*E16</f>
        <v>65.020977844457533</v>
      </c>
      <c r="G16" s="23">
        <f>パラメータ!$B$22*(1+パラメータ!$C$22)^(パラメータ!$D$22+INT((A16-1)/パラメータ!$E$22))</f>
        <v>4.7762091861159996</v>
      </c>
      <c r="H16" s="23">
        <f>パラメータ!$B$23+パラメータ!$C$23*(パラメータ!$D$23+INT((A16-1)/パラメータ!$E$23))</f>
        <v>2</v>
      </c>
      <c r="I16" s="23">
        <f>F16*G16*H16</f>
        <v>621.10758334188597</v>
      </c>
      <c r="J16" s="23">
        <f>IF(B16="ボス",パラメータ!$B$13+パラメータ!$B$14,パラメータ!$B$12)</f>
        <v>24</v>
      </c>
      <c r="K16" s="23">
        <f>パラメータ!$B$39</f>
        <v>1</v>
      </c>
      <c r="L16" s="23">
        <f>K16*(1+パラメータ!$B$9)^(A16-1)*IF(B16="ボス",パラメータ!$B$10,1)</f>
        <v>5.9360270418313235</v>
      </c>
      <c r="M16" s="23">
        <f>IF(B16="ボス",L16*パラメータ!$B$11,0)</f>
        <v>0</v>
      </c>
      <c r="N16" s="23">
        <f>MAX(0,I16-M16)</f>
        <v>621.10758334188597</v>
      </c>
      <c r="O16" s="24">
        <f>F16/L16</f>
        <v>10.953618874417714</v>
      </c>
      <c r="P16" s="23">
        <f>J16*L16</f>
        <v>142.46464900395176</v>
      </c>
      <c r="Q16" s="23">
        <f>IF(N16&lt;=0,9999,P16/N16)</f>
        <v>0.22937193623915669</v>
      </c>
      <c r="R16" s="25">
        <f>ROUNDUP(P16/MAX(F16,0.000001),0)</f>
        <v>3</v>
      </c>
      <c r="S16" s="23">
        <f>MIN(パラメータ!$B$38,パラメータ!$B$38*SQRT(MAX(0,F16/L16)))</f>
        <v>1.2</v>
      </c>
      <c r="T16" s="24">
        <f>パラメータ!$B$24*(1+パラメータ!$C$24)^(パラメータ!$D$24+INT((A16-1)/パラメータ!$E$24))</f>
        <v>9.7240500000000007E-2</v>
      </c>
      <c r="U16" s="22" t="str">
        <f>IF(O16&lt;パラメータ!$B$8,"リセット推奨","継続可能")</f>
        <v>継続可能</v>
      </c>
      <c r="V16" s="33" t="str">
        <f>IF(B16="ボス","一般外殻＋回復コア","一般ガラス")</f>
        <v>一般ガラス</v>
      </c>
      <c r="W16" s="26">
        <f>ROUNDUP(J16/(パラメータ!$B$37^2),0)</f>
        <v>17</v>
      </c>
    </row>
    <row r="17" spans="1:23">
      <c r="A17" s="21">
        <v>14</v>
      </c>
      <c r="B17" s="22" t="str">
        <f>IF(MOD(A17,パラメータ!$B$15)=0,"ボス","一般")</f>
        <v>一般</v>
      </c>
      <c r="C17" s="23">
        <f>パラメータ!$B$19*(1+パラメータ!$C$19)^(パラメータ!$D$19+INT((A17-1)/パラメータ!$E$19))</f>
        <v>1.2653190184960004</v>
      </c>
      <c r="D17" s="23">
        <f>パラメータ!$B$20*(1+パラメータ!$C$20)^(パラメータ!$D$20+INT((A17-1)/パラメータ!$E$20))</f>
        <v>13.513949031168</v>
      </c>
      <c r="E17" s="24">
        <f>MIN(1,パラメータ!$B$21*(1+パラメータ!$C$21)^(パラメータ!$D$21+INT((A17-1)/パラメータ!$E$21)))</f>
        <v>0.56275440499999996</v>
      </c>
      <c r="F17" s="23">
        <f>0.5*C17*D17^2*E17</f>
        <v>65.020977844457533</v>
      </c>
      <c r="G17" s="23">
        <f>パラメータ!$B$22*(1+パラメータ!$C$22)^(パラメータ!$D$22+INT((A17-1)/パラメータ!$E$22))</f>
        <v>4.7762091861159996</v>
      </c>
      <c r="H17" s="23">
        <f>パラメータ!$B$23+パラメータ!$C$23*(パラメータ!$D$23+INT((A17-1)/パラメータ!$E$23))</f>
        <v>2</v>
      </c>
      <c r="I17" s="23">
        <f>F17*G17*H17</f>
        <v>621.10758334188597</v>
      </c>
      <c r="J17" s="23">
        <f>IF(B17="ボス",パラメータ!$B$13+パラメータ!$B$14,パラメータ!$B$12)</f>
        <v>24</v>
      </c>
      <c r="K17" s="23">
        <f>パラメータ!$B$39</f>
        <v>1</v>
      </c>
      <c r="L17" s="23">
        <f>K17*(1+パラメータ!$B$9)^(A17-1)*IF(B17="ボス",パラメータ!$B$10,1)</f>
        <v>6.8857913685243348</v>
      </c>
      <c r="M17" s="23">
        <f>IF(B17="ボス",L17*パラメータ!$B$11,0)</f>
        <v>0</v>
      </c>
      <c r="N17" s="23">
        <f>MAX(0,I17-M17)</f>
        <v>621.10758334188597</v>
      </c>
      <c r="O17" s="24">
        <f>F17/L17</f>
        <v>9.4427748917394094</v>
      </c>
      <c r="P17" s="23">
        <f>J17*L17</f>
        <v>165.25899284458404</v>
      </c>
      <c r="Q17" s="23">
        <f>IF(N17&lt;=0,9999,P17/N17)</f>
        <v>0.26607144603742172</v>
      </c>
      <c r="R17" s="25">
        <f>ROUNDUP(P17/MAX(F17,0.000001),0)</f>
        <v>3</v>
      </c>
      <c r="S17" s="23">
        <f>MIN(パラメータ!$B$38,パラメータ!$B$38*SQRT(MAX(0,F17/L17)))</f>
        <v>1.2</v>
      </c>
      <c r="T17" s="24">
        <f>パラメータ!$B$24*(1+パラメータ!$C$24)^(パラメータ!$D$24+INT((A17-1)/パラメータ!$E$24))</f>
        <v>9.7240500000000007E-2</v>
      </c>
      <c r="U17" s="22" t="str">
        <f>IF(O17&lt;パラメータ!$B$8,"リセット推奨","継続可能")</f>
        <v>継続可能</v>
      </c>
      <c r="V17" s="33" t="str">
        <f>IF(B17="ボス","一般外殻＋回復コア","一般ガラス")</f>
        <v>一般ガラス</v>
      </c>
      <c r="W17" s="26">
        <f>ROUNDUP(J17/(パラメータ!$B$37^2),0)</f>
        <v>17</v>
      </c>
    </row>
    <row r="18" spans="1:23">
      <c r="A18" s="21">
        <v>15</v>
      </c>
      <c r="B18" s="22" t="str">
        <f>IF(MOD(A18,パラメータ!$B$15)=0,"ボス","一般")</f>
        <v>ボス</v>
      </c>
      <c r="C18" s="23">
        <f>パラメータ!$B$19*(1+パラメータ!$C$19)^(パラメータ!$D$19+INT((A18-1)/パラメータ!$E$19))</f>
        <v>1.3159317792358403</v>
      </c>
      <c r="D18" s="23">
        <f>パラメータ!$B$20*(1+パラメータ!$C$20)^(パラメータ!$D$20+INT((A18-1)/パラメータ!$E$20))</f>
        <v>13.784228011791358</v>
      </c>
      <c r="E18" s="24">
        <f>MIN(1,パラメータ!$B$21*(1+パラメータ!$C$21)^(パラメータ!$D$21+INT((A18-1)/パラメータ!$E$21)))</f>
        <v>0.56275440499999996</v>
      </c>
      <c r="F18" s="23">
        <f>0.5*C18*D18^2*E18</f>
        <v>70.35373836334854</v>
      </c>
      <c r="G18" s="23">
        <f>パラメータ!$B$22*(1+パラメータ!$C$22)^(パラメータ!$D$22+INT((A18-1)/パラメータ!$E$22))</f>
        <v>4.9194954616994799</v>
      </c>
      <c r="H18" s="23">
        <f>パラメータ!$B$23+パラメータ!$C$23*(パラメータ!$D$23+INT((A18-1)/パラメータ!$E$23))</f>
        <v>2</v>
      </c>
      <c r="I18" s="23">
        <f>F18*G18*H18</f>
        <v>692.20979318417153</v>
      </c>
      <c r="J18" s="23">
        <f>IF(B18="ボス",パラメータ!$B$13+パラメータ!$B$14,パラメータ!$B$12)</f>
        <v>27</v>
      </c>
      <c r="K18" s="23">
        <f>パラメータ!$B$39</f>
        <v>1</v>
      </c>
      <c r="L18" s="23">
        <f>K18*(1+パラメータ!$B$9)^(A18-1)*IF(B18="ボス",パラメータ!$B$10,1)</f>
        <v>47.925107924929371</v>
      </c>
      <c r="M18" s="23">
        <f>IF(B18="ボス",L18*パラメータ!$B$11,0)</f>
        <v>5.751012950991524</v>
      </c>
      <c r="N18" s="23">
        <f>MAX(0,I18-M18)</f>
        <v>686.45878023318005</v>
      </c>
      <c r="O18" s="24">
        <f>F18/L18</f>
        <v>1.4679933214454461</v>
      </c>
      <c r="P18" s="23">
        <f>J18*L18</f>
        <v>1293.9779139730931</v>
      </c>
      <c r="Q18" s="23">
        <f>IF(N18&lt;=0,9999,P18/N18)</f>
        <v>1.8850045352082869</v>
      </c>
      <c r="R18" s="25">
        <f>ROUNDUP(P18/MAX(F18,0.000001),0)</f>
        <v>19</v>
      </c>
      <c r="S18" s="23">
        <f>MIN(パラメータ!$B$38,パラメータ!$B$38*SQRT(MAX(0,F18/L18)))</f>
        <v>1.2</v>
      </c>
      <c r="T18" s="24">
        <f>パラメータ!$B$24*(1+パラメータ!$C$24)^(パラメータ!$D$24+INT((A18-1)/パラメータ!$E$24))</f>
        <v>9.7240500000000007E-2</v>
      </c>
      <c r="U18" s="22" t="str">
        <f>IF(O18&lt;パラメータ!$B$8,"リセット推奨","継続可能")</f>
        <v>継続可能</v>
      </c>
      <c r="V18" s="33" t="str">
        <f>IF(B18="ボス","一般外殻＋回復コア","一般ガラス")</f>
        <v>一般外殻＋回復コア</v>
      </c>
      <c r="W18" s="26">
        <f>ROUNDUP(J18/(パラメータ!$B$37^2),0)</f>
        <v>19</v>
      </c>
    </row>
    <row r="19" spans="1:23">
      <c r="A19" s="21">
        <v>16</v>
      </c>
      <c r="B19" s="22" t="str">
        <f>IF(MOD(A19,パラメータ!$B$15)=0,"ボス","一般")</f>
        <v>一般</v>
      </c>
      <c r="C19" s="23">
        <f>パラメータ!$B$19*(1+パラメータ!$C$19)^(パラメータ!$D$19+INT((A19-1)/パラメータ!$E$19))</f>
        <v>1.3159317792358403</v>
      </c>
      <c r="D19" s="23">
        <f>パラメータ!$B$20*(1+パラメータ!$C$20)^(パラメータ!$D$20+INT((A19-1)/パラメータ!$E$20))</f>
        <v>13.784228011791358</v>
      </c>
      <c r="E19" s="24">
        <f>MIN(1,パラメータ!$B$21*(1+パラメータ!$C$21)^(パラメータ!$D$21+INT((A19-1)/パラメータ!$E$21)))</f>
        <v>0.57963703714999992</v>
      </c>
      <c r="F19" s="23">
        <f>0.5*C19*D19^2*E19</f>
        <v>72.464350514248991</v>
      </c>
      <c r="G19" s="23">
        <f>パラメータ!$B$22*(1+パラメータ!$C$22)^(パラメータ!$D$22+INT((A19-1)/パラメータ!$E$22))</f>
        <v>4.9194954616994799</v>
      </c>
      <c r="H19" s="23">
        <f>パラメータ!$B$23+パラメータ!$C$23*(パラメータ!$D$23+INT((A19-1)/パラメータ!$E$23))</f>
        <v>2</v>
      </c>
      <c r="I19" s="23">
        <f>F19*G19*H19</f>
        <v>712.97608697969656</v>
      </c>
      <c r="J19" s="23">
        <f>IF(B19="ボス",パラメータ!$B$13+パラメータ!$B$14,パラメータ!$B$12)</f>
        <v>24</v>
      </c>
      <c r="K19" s="23">
        <f>パラメータ!$B$39</f>
        <v>1</v>
      </c>
      <c r="L19" s="23">
        <f>K19*(1+パラメータ!$B$9)^(A19-1)*IF(B19="ボス",パラメータ!$B$10,1)</f>
        <v>9.2655208654863443</v>
      </c>
      <c r="M19" s="23">
        <f>IF(B19="ボス",L19*パラメータ!$B$11,0)</f>
        <v>0</v>
      </c>
      <c r="N19" s="23">
        <f>MAX(0,I19-M19)</f>
        <v>712.97608697969656</v>
      </c>
      <c r="O19" s="24">
        <f>F19/L19</f>
        <v>7.8208609711490151</v>
      </c>
      <c r="P19" s="23">
        <f>J19*L19</f>
        <v>222.37250077167226</v>
      </c>
      <c r="Q19" s="23">
        <f>IF(N19&lt;=0,9999,P19/N19)</f>
        <v>0.31189335074852909</v>
      </c>
      <c r="R19" s="25">
        <f>ROUNDUP(P19/MAX(F19,0.000001),0)</f>
        <v>4</v>
      </c>
      <c r="S19" s="23">
        <f>MIN(パラメータ!$B$38,パラメータ!$B$38*SQRT(MAX(0,F19/L19)))</f>
        <v>1.2</v>
      </c>
      <c r="T19" s="24">
        <f>パラメータ!$B$24*(1+パラメータ!$C$24)^(パラメータ!$D$24+INT((A19-1)/パラメータ!$E$24))</f>
        <v>0.10210252500000001</v>
      </c>
      <c r="U19" s="22" t="str">
        <f>IF(O19&lt;パラメータ!$B$8,"リセット推奨","継続可能")</f>
        <v>継続可能</v>
      </c>
      <c r="V19" s="33" t="str">
        <f>IF(B19="ボス","一般外殻＋回復コア","一般ガラス")</f>
        <v>一般ガラス</v>
      </c>
      <c r="W19" s="26">
        <f>ROUNDUP(J19/(パラメータ!$B$37^2),0)</f>
        <v>17</v>
      </c>
    </row>
    <row r="20" spans="1:23">
      <c r="A20" s="21">
        <v>17</v>
      </c>
      <c r="B20" s="22" t="str">
        <f>IF(MOD(A20,パラメータ!$B$15)=0,"ボス","一般")</f>
        <v>一般</v>
      </c>
      <c r="C20" s="23">
        <f>パラメータ!$B$19*(1+パラメータ!$C$19)^(パラメータ!$D$19+INT((A20-1)/パラメータ!$E$19))</f>
        <v>1.3685690504052741</v>
      </c>
      <c r="D20" s="23">
        <f>パラメータ!$B$20*(1+パラメータ!$C$20)^(パラメータ!$D$20+INT((A20-1)/パラメータ!$E$20))</f>
        <v>14.059912572027187</v>
      </c>
      <c r="E20" s="24">
        <f>MIN(1,パラメータ!$B$21*(1+パラメータ!$C$21)^(パラメータ!$D$21+INT((A20-1)/パラメータ!$E$21)))</f>
        <v>0.57963703714999992</v>
      </c>
      <c r="F20" s="23">
        <f>0.5*C20*D20^2*E20</f>
        <v>78.407586686025667</v>
      </c>
      <c r="G20" s="23">
        <f>パラメータ!$B$22*(1+パラメータ!$C$22)^(パラメータ!$D$22+INT((A20-1)/パラメータ!$E$22))</f>
        <v>5.0670803255504637</v>
      </c>
      <c r="H20" s="23">
        <f>パラメータ!$B$23+パラメータ!$C$23*(パラメータ!$D$23+INT((A20-1)/パラメータ!$E$23))</f>
        <v>2</v>
      </c>
      <c r="I20" s="23">
        <f>F20*G20*H20</f>
        <v>794.59507974130634</v>
      </c>
      <c r="J20" s="23">
        <f>IF(B20="ボス",パラメータ!$B$13+パラメータ!$B$14,パラメータ!$B$12)</f>
        <v>24</v>
      </c>
      <c r="K20" s="23">
        <f>パラメータ!$B$39</f>
        <v>1</v>
      </c>
      <c r="L20" s="23">
        <f>K20*(1+パラメータ!$B$9)^(A20-1)*IF(B20="ボス",パラメータ!$B$10,1)</f>
        <v>10.748004203964159</v>
      </c>
      <c r="M20" s="23">
        <f>IF(B20="ボス",L20*パラメータ!$B$11,0)</f>
        <v>0</v>
      </c>
      <c r="N20" s="23">
        <f>MAX(0,I20-M20)</f>
        <v>794.59507974130634</v>
      </c>
      <c r="O20" s="24">
        <f>F20/L20</f>
        <v>7.2950833659989449</v>
      </c>
      <c r="P20" s="23">
        <f>J20*L20</f>
        <v>257.95210089513984</v>
      </c>
      <c r="Q20" s="23">
        <f>IF(N20&lt;=0,9999,P20/N20)</f>
        <v>0.32463339815685799</v>
      </c>
      <c r="R20" s="25">
        <f>ROUNDUP(P20/MAX(F20,0.000001),0)</f>
        <v>4</v>
      </c>
      <c r="S20" s="23">
        <f>MIN(パラメータ!$B$38,パラメータ!$B$38*SQRT(MAX(0,F20/L20)))</f>
        <v>1.2</v>
      </c>
      <c r="T20" s="24">
        <f>パラメータ!$B$24*(1+パラメータ!$C$24)^(パラメータ!$D$24+INT((A20-1)/パラメータ!$E$24))</f>
        <v>0.10210252500000001</v>
      </c>
      <c r="U20" s="22" t="str">
        <f>IF(O20&lt;パラメータ!$B$8,"リセット推奨","継続可能")</f>
        <v>継続可能</v>
      </c>
      <c r="V20" s="33" t="str">
        <f>IF(B20="ボス","一般外殻＋回復コア","一般ガラス")</f>
        <v>一般ガラス</v>
      </c>
      <c r="W20" s="26">
        <f>ROUNDUP(J20/(パラメータ!$B$37^2),0)</f>
        <v>17</v>
      </c>
    </row>
    <row r="21" spans="1:23">
      <c r="A21" s="21">
        <v>18</v>
      </c>
      <c r="B21" s="22" t="str">
        <f>IF(MOD(A21,パラメータ!$B$15)=0,"ボス","一般")</f>
        <v>一般</v>
      </c>
      <c r="C21" s="23">
        <f>パラメータ!$B$19*(1+パラメータ!$C$19)^(パラメータ!$D$19+INT((A21-1)/パラメータ!$E$19))</f>
        <v>1.3685690504052741</v>
      </c>
      <c r="D21" s="23">
        <f>パラメータ!$B$20*(1+パラメータ!$C$20)^(パラメータ!$D$20+INT((A21-1)/パラメータ!$E$20))</f>
        <v>14.059912572027187</v>
      </c>
      <c r="E21" s="24">
        <f>MIN(1,パラメータ!$B$21*(1+パラメータ!$C$21)^(パラメータ!$D$21+INT((A21-1)/パラメータ!$E$21)))</f>
        <v>0.57963703714999992</v>
      </c>
      <c r="F21" s="23">
        <f>0.5*C21*D21^2*E21</f>
        <v>78.407586686025667</v>
      </c>
      <c r="G21" s="23">
        <f>パラメータ!$B$22*(1+パラメータ!$C$22)^(パラメータ!$D$22+INT((A21-1)/パラメータ!$E$22))</f>
        <v>5.0670803255504637</v>
      </c>
      <c r="H21" s="23">
        <f>パラメータ!$B$23+パラメータ!$C$23*(パラメータ!$D$23+INT((A21-1)/パラメータ!$E$23))</f>
        <v>2</v>
      </c>
      <c r="I21" s="23">
        <f>F21*G21*H21</f>
        <v>794.59507974130634</v>
      </c>
      <c r="J21" s="23">
        <f>IF(B21="ボス",パラメータ!$B$13+パラメータ!$B$14,パラメータ!$B$12)</f>
        <v>24</v>
      </c>
      <c r="K21" s="23">
        <f>パラメータ!$B$39</f>
        <v>1</v>
      </c>
      <c r="L21" s="23">
        <f>K21*(1+パラメータ!$B$9)^(A21-1)*IF(B21="ボス",パラメータ!$B$10,1)</f>
        <v>12.467684876598424</v>
      </c>
      <c r="M21" s="23">
        <f>IF(B21="ボス",L21*パラメータ!$B$11,0)</f>
        <v>0</v>
      </c>
      <c r="N21" s="23">
        <f>MAX(0,I21-M21)</f>
        <v>794.59507974130634</v>
      </c>
      <c r="O21" s="24">
        <f>F21/L21</f>
        <v>6.2888649706887456</v>
      </c>
      <c r="P21" s="23">
        <f>J21*L21</f>
        <v>299.22443703836217</v>
      </c>
      <c r="Q21" s="23">
        <f>IF(N21&lt;=0,9999,P21/N21)</f>
        <v>0.37657474186195522</v>
      </c>
      <c r="R21" s="25">
        <f>ROUNDUP(P21/MAX(F21,0.000001),0)</f>
        <v>4</v>
      </c>
      <c r="S21" s="23">
        <f>MIN(パラメータ!$B$38,パラメータ!$B$38*SQRT(MAX(0,F21/L21)))</f>
        <v>1.2</v>
      </c>
      <c r="T21" s="24">
        <f>パラメータ!$B$24*(1+パラメータ!$C$24)^(パラメータ!$D$24+INT((A21-1)/パラメータ!$E$24))</f>
        <v>0.10210252500000001</v>
      </c>
      <c r="U21" s="22" t="str">
        <f>IF(O21&lt;パラメータ!$B$8,"リセット推奨","継続可能")</f>
        <v>継続可能</v>
      </c>
      <c r="V21" s="33" t="str">
        <f>IF(B21="ボス","一般外殻＋回復コア","一般ガラス")</f>
        <v>一般ガラス</v>
      </c>
      <c r="W21" s="26">
        <f>ROUNDUP(J21/(パラメータ!$B$37^2),0)</f>
        <v>17</v>
      </c>
    </row>
    <row r="22" spans="1:23">
      <c r="A22" s="21">
        <v>19</v>
      </c>
      <c r="B22" s="22" t="str">
        <f>IF(MOD(A22,パラメータ!$B$15)=0,"ボス","一般")</f>
        <v>一般</v>
      </c>
      <c r="C22" s="23">
        <f>パラメータ!$B$19*(1+パラメータ!$C$19)^(パラメータ!$D$19+INT((A22-1)/パラメータ!$E$19))</f>
        <v>1.4233118124214852</v>
      </c>
      <c r="D22" s="23">
        <f>パラメータ!$B$20*(1+パラメータ!$C$20)^(パラメータ!$D$20+INT((A22-1)/パラメータ!$E$20))</f>
        <v>14.34111082346773</v>
      </c>
      <c r="E22" s="24">
        <f>MIN(1,パラメータ!$B$21*(1+パラメータ!$C$21)^(パラメータ!$D$21+INT((A22-1)/パラメータ!$E$21)))</f>
        <v>0.59702614826449996</v>
      </c>
      <c r="F22" s="23">
        <f>0.5*C22*D22^2*E22</f>
        <v>87.383411215136761</v>
      </c>
      <c r="G22" s="23">
        <f>パラメータ!$B$22*(1+パラメータ!$C$22)^(パラメータ!$D$22+INT((A22-1)/パラメータ!$E$22))</f>
        <v>5.2190927353169778</v>
      </c>
      <c r="H22" s="23">
        <f>パラメータ!$B$23+パラメータ!$C$23*(パラメータ!$D$23+INT((A22-1)/パラメータ!$E$23))</f>
        <v>2</v>
      </c>
      <c r="I22" s="23">
        <f>F22*G22*H22</f>
        <v>912.12425332027283</v>
      </c>
      <c r="J22" s="23">
        <f>IF(B22="ボス",パラメータ!$B$13+パラメータ!$B$14,パラメータ!$B$12)</f>
        <v>24</v>
      </c>
      <c r="K22" s="23">
        <f>パラメータ!$B$39</f>
        <v>1</v>
      </c>
      <c r="L22" s="23">
        <f>K22*(1+パラメータ!$B$9)^(A22-1)*IF(B22="ボス",パラメータ!$B$10,1)</f>
        <v>14.462514456854171</v>
      </c>
      <c r="M22" s="23">
        <f>IF(B22="ボス",L22*パラメータ!$B$11,0)</f>
        <v>0</v>
      </c>
      <c r="N22" s="23">
        <f>MAX(0,I22-M22)</f>
        <v>912.12425332027283</v>
      </c>
      <c r="O22" s="24">
        <f>F22/L22</f>
        <v>6.0420621514900841</v>
      </c>
      <c r="P22" s="23">
        <f>J22*L22</f>
        <v>347.10034696450009</v>
      </c>
      <c r="Q22" s="23">
        <f>IF(N22&lt;=0,9999,P22/N22)</f>
        <v>0.38054063983169106</v>
      </c>
      <c r="R22" s="25">
        <f>ROUNDUP(P22/MAX(F22,0.000001),0)</f>
        <v>4</v>
      </c>
      <c r="S22" s="23">
        <f>MIN(パラメータ!$B$38,パラメータ!$B$38*SQRT(MAX(0,F22/L22)))</f>
        <v>1.2</v>
      </c>
      <c r="T22" s="24">
        <f>パラメータ!$B$24*(1+パラメータ!$C$24)^(パラメータ!$D$24+INT((A22-1)/パラメータ!$E$24))</f>
        <v>0.10720765124999999</v>
      </c>
      <c r="U22" s="22" t="str">
        <f>IF(O22&lt;パラメータ!$B$8,"リセット推奨","継続可能")</f>
        <v>継続可能</v>
      </c>
      <c r="V22" s="33" t="str">
        <f>IF(B22="ボス","一般外殻＋回復コア","一般ガラス")</f>
        <v>一般ガラス</v>
      </c>
      <c r="W22" s="26">
        <f>ROUNDUP(J22/(パラメータ!$B$37^2),0)</f>
        <v>17</v>
      </c>
    </row>
    <row r="23" spans="1:23">
      <c r="A23" s="21">
        <v>20</v>
      </c>
      <c r="B23" s="22" t="str">
        <f>IF(MOD(A23,パラメータ!$B$15)=0,"ボス","一般")</f>
        <v>ボス</v>
      </c>
      <c r="C23" s="23">
        <f>パラメータ!$B$19*(1+パラメータ!$C$19)^(パラメータ!$D$19+INT((A23-1)/パラメータ!$E$19))</f>
        <v>1.4233118124214852</v>
      </c>
      <c r="D23" s="23">
        <f>パラメータ!$B$20*(1+パラメータ!$C$20)^(パラメータ!$D$20+INT((A23-1)/パラメータ!$E$20))</f>
        <v>14.34111082346773</v>
      </c>
      <c r="E23" s="24">
        <f>MIN(1,パラメータ!$B$21*(1+パラメータ!$C$21)^(パラメータ!$D$21+INT((A23-1)/パラメータ!$E$21)))</f>
        <v>0.59702614826449996</v>
      </c>
      <c r="F23" s="23">
        <f>0.5*C23*D23^2*E23</f>
        <v>87.383411215136761</v>
      </c>
      <c r="G23" s="23">
        <f>パラメータ!$B$22*(1+パラメータ!$C$22)^(パラメータ!$D$22+INT((A23-1)/パラメータ!$E$22))</f>
        <v>5.2190927353169778</v>
      </c>
      <c r="H23" s="23">
        <f>パラメータ!$B$23+パラメータ!$C$23*(パラメータ!$D$23+INT((A23-1)/パラメータ!$E$23))</f>
        <v>2</v>
      </c>
      <c r="I23" s="23">
        <f>F23*G23*H23</f>
        <v>912.12425332027283</v>
      </c>
      <c r="J23" s="23">
        <f>IF(B23="ボス",パラメータ!$B$13+パラメータ!$B$14,パラメータ!$B$12)</f>
        <v>27</v>
      </c>
      <c r="K23" s="23">
        <f>パラメータ!$B$39</f>
        <v>1</v>
      </c>
      <c r="L23" s="23">
        <f>K23*(1+パラメータ!$B$9)^(A23-1)*IF(B23="ボス",パラメータ!$B$10,1)</f>
        <v>100.65910061970503</v>
      </c>
      <c r="M23" s="23">
        <f>IF(B23="ボス",L23*パラメータ!$B$11,0)</f>
        <v>12.079092074364603</v>
      </c>
      <c r="N23" s="23">
        <f>MAX(0,I23-M23)</f>
        <v>900.04516124590828</v>
      </c>
      <c r="O23" s="24">
        <f>F23/L23</f>
        <v>0.86811237808765584</v>
      </c>
      <c r="P23" s="23">
        <f>J23*L23</f>
        <v>2717.795716732036</v>
      </c>
      <c r="Q23" s="23">
        <f>IF(N23&lt;=0,9999,P23/N23)</f>
        <v>3.0196214965145356</v>
      </c>
      <c r="R23" s="25">
        <f>ROUNDUP(P23/MAX(F23,0.000001),0)</f>
        <v>32</v>
      </c>
      <c r="S23" s="23">
        <f>MIN(パラメータ!$B$38,パラメータ!$B$38*SQRT(MAX(0,F23/L23)))</f>
        <v>1.1180705811558698</v>
      </c>
      <c r="T23" s="24">
        <f>パラメータ!$B$24*(1+パラメータ!$C$24)^(パラメータ!$D$24+INT((A23-1)/パラメータ!$E$24))</f>
        <v>0.10720765124999999</v>
      </c>
      <c r="U23" s="22" t="str">
        <f>IF(O23&lt;パラメータ!$B$8,"リセット推奨","継続可能")</f>
        <v>継続可能</v>
      </c>
      <c r="V23" s="33" t="str">
        <f>IF(B23="ボス","一般外殻＋回復コア","一般ガラス")</f>
        <v>一般外殻＋回復コア</v>
      </c>
      <c r="W23" s="26">
        <f>ROUNDUP(J23/(パラメータ!$B$37^2),0)</f>
        <v>19</v>
      </c>
    </row>
    <row r="24" spans="1:23">
      <c r="A24" s="21">
        <v>21</v>
      </c>
      <c r="B24" s="22" t="str">
        <f>IF(MOD(A24,パラメータ!$B$15)=0,"ボス","一般")</f>
        <v>一般</v>
      </c>
      <c r="C24" s="23">
        <f>パラメータ!$B$19*(1+パラメータ!$C$19)^(パラメータ!$D$19+INT((A24-1)/パラメータ!$E$19))</f>
        <v>1.4802442849183446</v>
      </c>
      <c r="D24" s="23">
        <f>パラメータ!$B$20*(1+パラメータ!$C$20)^(パラメータ!$D$20+INT((A24-1)/パラメータ!$E$20))</f>
        <v>14.627933039937085</v>
      </c>
      <c r="E24" s="24">
        <f>MIN(1,パラメータ!$B$21*(1+パラメータ!$C$21)^(パラメータ!$D$21+INT((A24-1)/パラメータ!$E$21)))</f>
        <v>0.59702614826449996</v>
      </c>
      <c r="F24" s="23">
        <f>0.5*C24*D24^2*E24</f>
        <v>94.55024906935742</v>
      </c>
      <c r="G24" s="23">
        <f>パラメータ!$B$22*(1+パラメータ!$C$22)^(パラメータ!$D$22+INT((A24-1)/パラメータ!$E$22))</f>
        <v>5.3756655173764871</v>
      </c>
      <c r="H24" s="23">
        <f>パラメータ!$B$23+パラメータ!$C$23*(パラメータ!$D$23+INT((A24-1)/パラメータ!$E$23))</f>
        <v>3</v>
      </c>
      <c r="I24" s="23">
        <f>F24*G24*H24</f>
        <v>1524.8115407445089</v>
      </c>
      <c r="J24" s="23">
        <f>IF(B24="ボス",パラメータ!$B$13+パラメータ!$B$14,パラメータ!$B$12)</f>
        <v>24</v>
      </c>
      <c r="K24" s="23">
        <f>パラメータ!$B$39</f>
        <v>1</v>
      </c>
      <c r="L24" s="23">
        <f>K24*(1+パラメータ!$B$9)^(A24-1)*IF(B24="ボス",パラメータ!$B$10,1)</f>
        <v>19.46075945314297</v>
      </c>
      <c r="M24" s="23">
        <f>IF(B24="ボス",L24*パラメータ!$B$11,0)</f>
        <v>0</v>
      </c>
      <c r="N24" s="23">
        <f>MAX(0,I24-M24)</f>
        <v>1524.8115407445089</v>
      </c>
      <c r="O24" s="24">
        <f>F24/L24</f>
        <v>4.8585076701149648</v>
      </c>
      <c r="P24" s="23">
        <f>J24*L24</f>
        <v>467.05822687543127</v>
      </c>
      <c r="Q24" s="23">
        <f>IF(N24&lt;=0,9999,P24/N24)</f>
        <v>0.3063055429442671</v>
      </c>
      <c r="R24" s="25">
        <f>ROUNDUP(P24/MAX(F24,0.000001),0)</f>
        <v>5</v>
      </c>
      <c r="S24" s="23">
        <f>MIN(パラメータ!$B$38,パラメータ!$B$38*SQRT(MAX(0,F24/L24)))</f>
        <v>1.2</v>
      </c>
      <c r="T24" s="24">
        <f>パラメータ!$B$24*(1+パラメータ!$C$24)^(パラメータ!$D$24+INT((A24-1)/パラメータ!$E$24))</f>
        <v>0.10720765124999999</v>
      </c>
      <c r="U24" s="22" t="str">
        <f>IF(O24&lt;パラメータ!$B$8,"リセット推奨","継続可能")</f>
        <v>継続可能</v>
      </c>
      <c r="V24" s="33" t="str">
        <f>IF(B24="ボス","一般外殻＋回復コア","一般ガラス")</f>
        <v>一般ガラス</v>
      </c>
      <c r="W24" s="26">
        <f>ROUNDUP(J24/(パラメータ!$B$37^2),0)</f>
        <v>17</v>
      </c>
    </row>
    <row r="25" spans="1:23">
      <c r="A25" s="21">
        <v>22</v>
      </c>
      <c r="B25" s="22" t="str">
        <f>IF(MOD(A25,パラメータ!$B$15)=0,"ボス","一般")</f>
        <v>一般</v>
      </c>
      <c r="C25" s="23">
        <f>パラメータ!$B$19*(1+パラメータ!$C$19)^(パラメータ!$D$19+INT((A25-1)/パラメータ!$E$19))</f>
        <v>1.4802442849183446</v>
      </c>
      <c r="D25" s="23">
        <f>パラメータ!$B$20*(1+パラメータ!$C$20)^(パラメータ!$D$20+INT((A25-1)/パラメータ!$E$20))</f>
        <v>14.627933039937085</v>
      </c>
      <c r="E25" s="24">
        <f>MIN(1,パラメータ!$B$21*(1+パラメータ!$C$21)^(パラメータ!$D$21+INT((A25-1)/パラメータ!$E$21)))</f>
        <v>0.61493693271243499</v>
      </c>
      <c r="F25" s="23">
        <f>0.5*C25*D25^2*E25</f>
        <v>97.38675654143816</v>
      </c>
      <c r="G25" s="23">
        <f>パラメータ!$B$22*(1+パラメータ!$C$22)^(パラメータ!$D$22+INT((A25-1)/パラメータ!$E$22))</f>
        <v>5.3756655173764871</v>
      </c>
      <c r="H25" s="23">
        <f>パラメータ!$B$23+パラメータ!$C$23*(パラメータ!$D$23+INT((A25-1)/パラメータ!$E$23))</f>
        <v>3</v>
      </c>
      <c r="I25" s="23">
        <f>F25*G25*H25</f>
        <v>1570.5558869668446</v>
      </c>
      <c r="J25" s="23">
        <f>IF(B25="ボス",パラメータ!$B$13+パラメータ!$B$14,パラメータ!$B$12)</f>
        <v>24</v>
      </c>
      <c r="K25" s="23">
        <f>パラメータ!$B$39</f>
        <v>1</v>
      </c>
      <c r="L25" s="23">
        <f>K25*(1+パラメータ!$B$9)^(A25-1)*IF(B25="ボス",パラメータ!$B$10,1)</f>
        <v>22.574480965645847</v>
      </c>
      <c r="M25" s="23">
        <f>IF(B25="ボス",L25*パラメータ!$B$11,0)</f>
        <v>0</v>
      </c>
      <c r="N25" s="23">
        <f>MAX(0,I25-M25)</f>
        <v>1570.5558869668446</v>
      </c>
      <c r="O25" s="24">
        <f>F25/L25</f>
        <v>4.3140197415675985</v>
      </c>
      <c r="P25" s="23">
        <f>J25*L25</f>
        <v>541.78754317550033</v>
      </c>
      <c r="Q25" s="23">
        <f>IF(N25&lt;=0,9999,P25/N25)</f>
        <v>0.34496546584014542</v>
      </c>
      <c r="R25" s="25">
        <f>ROUNDUP(P25/MAX(F25,0.000001),0)</f>
        <v>6</v>
      </c>
      <c r="S25" s="23">
        <f>MIN(パラメータ!$B$38,パラメータ!$B$38*SQRT(MAX(0,F25/L25)))</f>
        <v>1.2</v>
      </c>
      <c r="T25" s="24">
        <f>パラメータ!$B$24*(1+パラメータ!$C$24)^(パラメータ!$D$24+INT((A25-1)/パラメータ!$E$24))</f>
        <v>0.11256803381250002</v>
      </c>
      <c r="U25" s="22" t="str">
        <f>IF(O25&lt;パラメータ!$B$8,"リセット推奨","継続可能")</f>
        <v>継続可能</v>
      </c>
      <c r="V25" s="33" t="str">
        <f>IF(B25="ボス","一般外殻＋回復コア","一般ガラス")</f>
        <v>一般ガラス</v>
      </c>
      <c r="W25" s="26">
        <f>ROUNDUP(J25/(パラメータ!$B$37^2),0)</f>
        <v>17</v>
      </c>
    </row>
    <row r="26" spans="1:23">
      <c r="A26" s="21">
        <v>23</v>
      </c>
      <c r="B26" s="22" t="str">
        <f>IF(MOD(A26,パラメータ!$B$15)=0,"ボス","一般")</f>
        <v>一般</v>
      </c>
      <c r="C26" s="23">
        <f>パラメータ!$B$19*(1+パラメータ!$C$19)^(パラメータ!$D$19+INT((A26-1)/パラメータ!$E$19))</f>
        <v>1.5394540563150783</v>
      </c>
      <c r="D26" s="23">
        <f>パラメータ!$B$20*(1+パラメータ!$C$20)^(パラメータ!$D$20+INT((A26-1)/パラメータ!$E$20))</f>
        <v>14.920491700735823</v>
      </c>
      <c r="E26" s="24">
        <f>MIN(1,パラメータ!$B$21*(1+パラメータ!$C$21)^(パラメータ!$D$21+INT((A26-1)/パラメータ!$E$21)))</f>
        <v>0.61493693271243499</v>
      </c>
      <c r="F26" s="23">
        <f>0.5*C26*D26^2*E26</f>
        <v>105.37402876594068</v>
      </c>
      <c r="G26" s="23">
        <f>パラメータ!$B$22*(1+パラメータ!$C$22)^(パラメータ!$D$22+INT((A26-1)/パラメータ!$E$22))</f>
        <v>5.5369354828977819</v>
      </c>
      <c r="H26" s="23">
        <f>パラメータ!$B$23+パラメータ!$C$23*(パラメータ!$D$23+INT((A26-1)/パラメータ!$E$23))</f>
        <v>3</v>
      </c>
      <c r="I26" s="23">
        <f>F26*G26*H26</f>
        <v>1750.3475965500857</v>
      </c>
      <c r="J26" s="23">
        <f>IF(B26="ボス",パラメータ!$B$13+パラメータ!$B$14,パラメータ!$B$12)</f>
        <v>24</v>
      </c>
      <c r="K26" s="23">
        <f>パラメータ!$B$39</f>
        <v>1</v>
      </c>
      <c r="L26" s="23">
        <f>K26*(1+パラメータ!$B$9)^(A26-1)*IF(B26="ボス",パラメータ!$B$10,1)</f>
        <v>26.186397920149183</v>
      </c>
      <c r="M26" s="23">
        <f>IF(B26="ボス",L26*パラメータ!$B$11,0)</f>
        <v>0</v>
      </c>
      <c r="N26" s="23">
        <f>MAX(0,I26-M26)</f>
        <v>1750.3475965500857</v>
      </c>
      <c r="O26" s="24">
        <f>F26/L26</f>
        <v>4.0239986074931062</v>
      </c>
      <c r="P26" s="23">
        <f>J26*L26</f>
        <v>628.47355008358045</v>
      </c>
      <c r="Q26" s="23">
        <f>IF(N26&lt;=0,9999,P26/N26)</f>
        <v>0.35905642474802968</v>
      </c>
      <c r="R26" s="25">
        <f>ROUNDUP(P26/MAX(F26,0.000001),0)</f>
        <v>6</v>
      </c>
      <c r="S26" s="23">
        <f>MIN(パラメータ!$B$38,パラメータ!$B$38*SQRT(MAX(0,F26/L26)))</f>
        <v>1.2</v>
      </c>
      <c r="T26" s="24">
        <f>パラメータ!$B$24*(1+パラメータ!$C$24)^(パラメータ!$D$24+INT((A26-1)/パラメータ!$E$24))</f>
        <v>0.11256803381250002</v>
      </c>
      <c r="U26" s="22" t="str">
        <f>IF(O26&lt;パラメータ!$B$8,"リセット推奨","継続可能")</f>
        <v>継続可能</v>
      </c>
      <c r="V26" s="33" t="str">
        <f>IF(B26="ボス","一般外殻＋回復コア","一般ガラス")</f>
        <v>一般ガラス</v>
      </c>
      <c r="W26" s="26">
        <f>ROUNDUP(J26/(パラメータ!$B$37^2),0)</f>
        <v>17</v>
      </c>
    </row>
    <row r="27" spans="1:23">
      <c r="A27" s="21">
        <v>24</v>
      </c>
      <c r="B27" s="22" t="str">
        <f>IF(MOD(A27,パラメータ!$B$15)=0,"ボス","一般")</f>
        <v>一般</v>
      </c>
      <c r="C27" s="23">
        <f>パラメータ!$B$19*(1+パラメータ!$C$19)^(パラメータ!$D$19+INT((A27-1)/パラメータ!$E$19))</f>
        <v>1.5394540563150783</v>
      </c>
      <c r="D27" s="23">
        <f>パラメータ!$B$20*(1+パラメータ!$C$20)^(パラメータ!$D$20+INT((A27-1)/パラメータ!$E$20))</f>
        <v>14.920491700735823</v>
      </c>
      <c r="E27" s="24">
        <f>MIN(1,パラメータ!$B$21*(1+パラメータ!$C$21)^(パラメータ!$D$21+INT((A27-1)/パラメータ!$E$21)))</f>
        <v>0.61493693271243499</v>
      </c>
      <c r="F27" s="23">
        <f>0.5*C27*D27^2*E27</f>
        <v>105.37402876594068</v>
      </c>
      <c r="G27" s="23">
        <f>パラメータ!$B$22*(1+パラメータ!$C$22)^(パラメータ!$D$22+INT((A27-1)/パラメータ!$E$22))</f>
        <v>5.5369354828977819</v>
      </c>
      <c r="H27" s="23">
        <f>パラメータ!$B$23+パラメータ!$C$23*(パラメータ!$D$23+INT((A27-1)/パラメータ!$E$23))</f>
        <v>3</v>
      </c>
      <c r="I27" s="23">
        <f>F27*G27*H27</f>
        <v>1750.3475965500857</v>
      </c>
      <c r="J27" s="23">
        <f>IF(B27="ボス",パラメータ!$B$13+パラメータ!$B$14,パラメータ!$B$12)</f>
        <v>24</v>
      </c>
      <c r="K27" s="23">
        <f>パラメータ!$B$39</f>
        <v>1</v>
      </c>
      <c r="L27" s="23">
        <f>K27*(1+パラメータ!$B$9)^(A27-1)*IF(B27="ボス",パラメータ!$B$10,1)</f>
        <v>30.376221587373049</v>
      </c>
      <c r="M27" s="23">
        <f>IF(B27="ボス",L27*パラメータ!$B$11,0)</f>
        <v>0</v>
      </c>
      <c r="N27" s="23">
        <f>MAX(0,I27-M27)</f>
        <v>1750.3475965500857</v>
      </c>
      <c r="O27" s="24">
        <f>F27/L27</f>
        <v>3.468964316804402</v>
      </c>
      <c r="P27" s="23">
        <f>J27*L27</f>
        <v>729.02931809695315</v>
      </c>
      <c r="Q27" s="23">
        <f>IF(N27&lt;=0,9999,P27/N27)</f>
        <v>0.41650545270771433</v>
      </c>
      <c r="R27" s="25">
        <f>ROUNDUP(P27/MAX(F27,0.000001),0)</f>
        <v>7</v>
      </c>
      <c r="S27" s="23">
        <f>MIN(パラメータ!$B$38,パラメータ!$B$38*SQRT(MAX(0,F27/L27)))</f>
        <v>1.2</v>
      </c>
      <c r="T27" s="24">
        <f>パラメータ!$B$24*(1+パラメータ!$C$24)^(パラメータ!$D$24+INT((A27-1)/パラメータ!$E$24))</f>
        <v>0.11256803381250002</v>
      </c>
      <c r="U27" s="22" t="str">
        <f>IF(O27&lt;パラメータ!$B$8,"リセット推奨","継続可能")</f>
        <v>継続可能</v>
      </c>
      <c r="V27" s="33" t="str">
        <f>IF(B27="ボス","一般外殻＋回復コア","一般ガラス")</f>
        <v>一般ガラス</v>
      </c>
      <c r="W27" s="26">
        <f>ROUNDUP(J27/(パラメータ!$B$37^2),0)</f>
        <v>17</v>
      </c>
    </row>
    <row r="28" spans="1:23">
      <c r="A28" s="21">
        <v>25</v>
      </c>
      <c r="B28" s="22" t="str">
        <f>IF(MOD(A28,パラメータ!$B$15)=0,"ボス","一般")</f>
        <v>ボス</v>
      </c>
      <c r="C28" s="23">
        <f>パラメータ!$B$19*(1+パラメータ!$C$19)^(パラメータ!$D$19+INT((A28-1)/パラメータ!$E$19))</f>
        <v>1.6010322185676817</v>
      </c>
      <c r="D28" s="23">
        <f>パラメータ!$B$20*(1+パラメータ!$C$20)^(パラメータ!$D$20+INT((A28-1)/パラメータ!$E$20))</f>
        <v>15.218901534750543</v>
      </c>
      <c r="E28" s="24">
        <f>MIN(1,パラメータ!$B$21*(1+パラメータ!$C$21)^(パラメータ!$D$21+INT((A28-1)/パラメータ!$E$21)))</f>
        <v>0.63338504069380797</v>
      </c>
      <c r="F28" s="23">
        <f>0.5*C28*D28^2*E28</f>
        <v>117.43687666248438</v>
      </c>
      <c r="G28" s="23">
        <f>パラメータ!$B$22*(1+パラメータ!$C$22)^(パラメータ!$D$22+INT((A28-1)/パラメータ!$E$22))</f>
        <v>5.7030435473847145</v>
      </c>
      <c r="H28" s="23">
        <f>パラメータ!$B$23+パラメータ!$C$23*(パラメータ!$D$23+INT((A28-1)/パラメータ!$E$23))</f>
        <v>3</v>
      </c>
      <c r="I28" s="23">
        <f>F28*G28*H28</f>
        <v>2009.2428650249885</v>
      </c>
      <c r="J28" s="23">
        <f>IF(B28="ボス",パラメータ!$B$13+パラメータ!$B$14,パラメータ!$B$12)</f>
        <v>27</v>
      </c>
      <c r="K28" s="23">
        <f>パラメータ!$B$39</f>
        <v>1</v>
      </c>
      <c r="L28" s="23">
        <f>K28*(1+パラメータ!$B$9)^(A28-1)*IF(B28="ボス",パラメータ!$B$10,1)</f>
        <v>211.41850224811643</v>
      </c>
      <c r="M28" s="23">
        <f>IF(B28="ボス",L28*パラメータ!$B$11,0)</f>
        <v>25.37022026977397</v>
      </c>
      <c r="N28" s="23">
        <f>MAX(0,I28-M28)</f>
        <v>1983.8726447552147</v>
      </c>
      <c r="O28" s="24">
        <f>F28/L28</f>
        <v>0.55547114095370365</v>
      </c>
      <c r="P28" s="23">
        <f>J28*L28</f>
        <v>5708.2995606991435</v>
      </c>
      <c r="Q28" s="23">
        <f>IF(N28&lt;=0,9999,P28/N28)</f>
        <v>2.8773518178146347</v>
      </c>
      <c r="R28" s="25">
        <f>ROUNDUP(P28/MAX(F28,0.000001),0)</f>
        <v>49</v>
      </c>
      <c r="S28" s="23">
        <f>MIN(パラメータ!$B$38,パラメータ!$B$38*SQRT(MAX(0,F28/L28)))</f>
        <v>0.89435923597474698</v>
      </c>
      <c r="T28" s="24">
        <f>パラメータ!$B$24*(1+パラメータ!$C$24)^(パラメータ!$D$24+INT((A28-1)/パラメータ!$E$24))</f>
        <v>0.118196435503125</v>
      </c>
      <c r="U28" s="22" t="str">
        <f>IF(O28&lt;パラメータ!$B$8,"リセット推奨","継続可能")</f>
        <v>継続可能</v>
      </c>
      <c r="V28" s="33" t="str">
        <f>IF(B28="ボス","一般外殻＋回復コア","一般ガラス")</f>
        <v>一般外殻＋回復コア</v>
      </c>
      <c r="W28" s="26">
        <f>ROUNDUP(J28/(パラメータ!$B$37^2),0)</f>
        <v>19</v>
      </c>
    </row>
    <row r="29" spans="1:23">
      <c r="A29" s="21">
        <v>26</v>
      </c>
      <c r="B29" s="22" t="str">
        <f>IF(MOD(A29,パラメータ!$B$15)=0,"ボス","一般")</f>
        <v>一般</v>
      </c>
      <c r="C29" s="23">
        <f>パラメータ!$B$19*(1+パラメータ!$C$19)^(パラメータ!$D$19+INT((A29-1)/パラメータ!$E$19))</f>
        <v>1.6010322185676817</v>
      </c>
      <c r="D29" s="23">
        <f>パラメータ!$B$20*(1+パラメータ!$C$20)^(パラメータ!$D$20+INT((A29-1)/パラメータ!$E$20))</f>
        <v>15.218901534750543</v>
      </c>
      <c r="E29" s="24">
        <f>MIN(1,パラメータ!$B$21*(1+パラメータ!$C$21)^(パラメータ!$D$21+INT((A29-1)/パラメータ!$E$21)))</f>
        <v>0.63338504069380797</v>
      </c>
      <c r="F29" s="23">
        <f>0.5*C29*D29^2*E29</f>
        <v>117.43687666248438</v>
      </c>
      <c r="G29" s="23">
        <f>パラメータ!$B$22*(1+パラメータ!$C$22)^(パラメータ!$D$22+INT((A29-1)/パラメータ!$E$22))</f>
        <v>5.7030435473847145</v>
      </c>
      <c r="H29" s="23">
        <f>パラメータ!$B$23+パラメータ!$C$23*(パラメータ!$D$23+INT((A29-1)/パラメータ!$E$23))</f>
        <v>3</v>
      </c>
      <c r="I29" s="23">
        <f>F29*G29*H29</f>
        <v>2009.2428650249885</v>
      </c>
      <c r="J29" s="23">
        <f>IF(B29="ボス",パラメータ!$B$13+パラメータ!$B$14,パラメータ!$B$12)</f>
        <v>24</v>
      </c>
      <c r="K29" s="23">
        <f>パラメータ!$B$39</f>
        <v>1</v>
      </c>
      <c r="L29" s="23">
        <f>K29*(1+パラメータ!$B$9)^(A29-1)*IF(B29="ボス",パラメータ!$B$10,1)</f>
        <v>40.874243767969169</v>
      </c>
      <c r="M29" s="23">
        <f>IF(B29="ボス",L29*パラメータ!$B$11,0)</f>
        <v>0</v>
      </c>
      <c r="N29" s="23">
        <f>MAX(0,I29-M29)</f>
        <v>2009.2428650249885</v>
      </c>
      <c r="O29" s="24">
        <f>F29/L29</f>
        <v>2.8731265911398465</v>
      </c>
      <c r="P29" s="23">
        <f>J29*L29</f>
        <v>980.98185043126</v>
      </c>
      <c r="Q29" s="23">
        <f>IF(N29&lt;=0,9999,P29/N29)</f>
        <v>0.48823458204444575</v>
      </c>
      <c r="R29" s="25">
        <f>ROUNDUP(P29/MAX(F29,0.000001),0)</f>
        <v>9</v>
      </c>
      <c r="S29" s="23">
        <f>MIN(パラメータ!$B$38,パラメータ!$B$38*SQRT(MAX(0,F29/L29)))</f>
        <v>1.2</v>
      </c>
      <c r="T29" s="24">
        <f>パラメータ!$B$24*(1+パラメータ!$C$24)^(パラメータ!$D$24+INT((A29-1)/パラメータ!$E$24))</f>
        <v>0.118196435503125</v>
      </c>
      <c r="U29" s="22" t="str">
        <f>IF(O29&lt;パラメータ!$B$8,"リセット推奨","継続可能")</f>
        <v>継続可能</v>
      </c>
      <c r="V29" s="33" t="str">
        <f>IF(B29="ボス","一般外殻＋回復コア","一般ガラス")</f>
        <v>一般ガラス</v>
      </c>
      <c r="W29" s="26">
        <f>ROUNDUP(J29/(パラメータ!$B$37^2),0)</f>
        <v>17</v>
      </c>
    </row>
    <row r="30" spans="1:23">
      <c r="A30" s="21">
        <v>27</v>
      </c>
      <c r="B30" s="22" t="str">
        <f>IF(MOD(A30,パラメータ!$B$15)=0,"ボス","一般")</f>
        <v>一般</v>
      </c>
      <c r="C30" s="23">
        <f>パラメータ!$B$19*(1+パラメータ!$C$19)^(パラメータ!$D$19+INT((A30-1)/パラメータ!$E$19))</f>
        <v>1.6650735073103891</v>
      </c>
      <c r="D30" s="23">
        <f>パラメータ!$B$20*(1+パラメータ!$C$20)^(パラメータ!$D$20+INT((A30-1)/パラメータ!$E$20))</f>
        <v>15.523279565445552</v>
      </c>
      <c r="E30" s="24">
        <f>MIN(1,パラメータ!$B$21*(1+パラメータ!$C$21)^(パラメータ!$D$21+INT((A30-1)/パラメータ!$E$21)))</f>
        <v>0.63338504069380797</v>
      </c>
      <c r="F30" s="23">
        <f>0.5*C30*D30^2*E30</f>
        <v>127.06857953883467</v>
      </c>
      <c r="G30" s="23">
        <f>パラメータ!$B$22*(1+パラメータ!$C$22)^(パラメータ!$D$22+INT((A30-1)/パラメータ!$E$22))</f>
        <v>5.8741348538062557</v>
      </c>
      <c r="H30" s="23">
        <f>パラメータ!$B$23+パラメータ!$C$23*(パラメータ!$D$23+INT((A30-1)/パラメータ!$E$23))</f>
        <v>3</v>
      </c>
      <c r="I30" s="23">
        <f>F30*G30*H30</f>
        <v>2239.2539156781636</v>
      </c>
      <c r="J30" s="23">
        <f>IF(B30="ボス",パラメータ!$B$13+パラメータ!$B$14,パラメータ!$B$12)</f>
        <v>24</v>
      </c>
      <c r="K30" s="23">
        <f>パラメータ!$B$39</f>
        <v>1</v>
      </c>
      <c r="L30" s="23">
        <f>K30*(1+パラメータ!$B$9)^(A30-1)*IF(B30="ボス",パラメータ!$B$10,1)</f>
        <v>47.414122770844237</v>
      </c>
      <c r="M30" s="23">
        <f>IF(B30="ボス",L30*パラメータ!$B$11,0)</f>
        <v>0</v>
      </c>
      <c r="N30" s="23">
        <f>MAX(0,I30-M30)</f>
        <v>2239.2539156781636</v>
      </c>
      <c r="O30" s="24">
        <f>F30/L30</f>
        <v>2.6799732255506652</v>
      </c>
      <c r="P30" s="23">
        <f>J30*L30</f>
        <v>1137.9389465002616</v>
      </c>
      <c r="Q30" s="23">
        <f>IF(N30&lt;=0,9999,P30/N30)</f>
        <v>0.50817771871826067</v>
      </c>
      <c r="R30" s="25">
        <f>ROUNDUP(P30/MAX(F30,0.000001),0)</f>
        <v>9</v>
      </c>
      <c r="S30" s="23">
        <f>MIN(パラメータ!$B$38,パラメータ!$B$38*SQRT(MAX(0,F30/L30)))</f>
        <v>1.2</v>
      </c>
      <c r="T30" s="24">
        <f>パラメータ!$B$24*(1+パラメータ!$C$24)^(パラメータ!$D$24+INT((A30-1)/パラメータ!$E$24))</f>
        <v>0.118196435503125</v>
      </c>
      <c r="U30" s="22" t="str">
        <f>IF(O30&lt;パラメータ!$B$8,"リセット推奨","継続可能")</f>
        <v>継続可能</v>
      </c>
      <c r="V30" s="33" t="str">
        <f>IF(B30="ボス","一般外殻＋回復コア","一般ガラス")</f>
        <v>一般ガラス</v>
      </c>
      <c r="W30" s="26">
        <f>ROUNDUP(J30/(パラメータ!$B$37^2),0)</f>
        <v>17</v>
      </c>
    </row>
    <row r="31" spans="1:23">
      <c r="A31" s="21">
        <v>28</v>
      </c>
      <c r="B31" s="22" t="str">
        <f>IF(MOD(A31,パラメータ!$B$15)=0,"ボス","一般")</f>
        <v>一般</v>
      </c>
      <c r="C31" s="23">
        <f>パラメータ!$B$19*(1+パラメータ!$C$19)^(パラメータ!$D$19+INT((A31-1)/パラメータ!$E$19))</f>
        <v>1.6650735073103891</v>
      </c>
      <c r="D31" s="23">
        <f>パラメータ!$B$20*(1+パラメータ!$C$20)^(パラメータ!$D$20+INT((A31-1)/パラメータ!$E$20))</f>
        <v>15.523279565445552</v>
      </c>
      <c r="E31" s="24">
        <f>MIN(1,パラメータ!$B$21*(1+パラメータ!$C$21)^(パラメータ!$D$21+INT((A31-1)/パラメータ!$E$21)))</f>
        <v>0.65238659191462223</v>
      </c>
      <c r="F31" s="23">
        <f>0.5*C31*D31^2*E31</f>
        <v>130.88063692499972</v>
      </c>
      <c r="G31" s="23">
        <f>パラメータ!$B$22*(1+パラメータ!$C$22)^(パラメータ!$D$22+INT((A31-1)/パラメータ!$E$22))</f>
        <v>5.8741348538062557</v>
      </c>
      <c r="H31" s="23">
        <f>パラメータ!$B$23+パラメータ!$C$23*(パラメータ!$D$23+INT((A31-1)/パラメータ!$E$23))</f>
        <v>3</v>
      </c>
      <c r="I31" s="23">
        <f>F31*G31*H31</f>
        <v>2306.4315331485086</v>
      </c>
      <c r="J31" s="23">
        <f>IF(B31="ボス",パラメータ!$B$13+パラメータ!$B$14,パラメータ!$B$12)</f>
        <v>24</v>
      </c>
      <c r="K31" s="23">
        <f>パラメータ!$B$39</f>
        <v>1</v>
      </c>
      <c r="L31" s="23">
        <f>K31*(1+パラメータ!$B$9)^(A31-1)*IF(B31="ボス",パラメータ!$B$10,1)</f>
        <v>55.000382414179313</v>
      </c>
      <c r="M31" s="23">
        <f>IF(B31="ボス",L31*パラメータ!$B$11,0)</f>
        <v>0</v>
      </c>
      <c r="N31" s="23">
        <f>MAX(0,I31-M31)</f>
        <v>2306.4315331485086</v>
      </c>
      <c r="O31" s="24">
        <f>F31/L31</f>
        <v>2.3796313985492978</v>
      </c>
      <c r="P31" s="23">
        <f>J31*L31</f>
        <v>1320.0091779403035</v>
      </c>
      <c r="Q31" s="23">
        <f>IF(N31&lt;=0,9999,P31/N31)</f>
        <v>0.57231665409046828</v>
      </c>
      <c r="R31" s="25">
        <f>ROUNDUP(P31/MAX(F31,0.000001),0)</f>
        <v>11</v>
      </c>
      <c r="S31" s="23">
        <f>MIN(パラメータ!$B$38,パラメータ!$B$38*SQRT(MAX(0,F31/L31)))</f>
        <v>1.2</v>
      </c>
      <c r="T31" s="24">
        <f>パラメータ!$B$24*(1+パラメータ!$C$24)^(パラメータ!$D$24+INT((A31-1)/パラメータ!$E$24))</f>
        <v>0.12410625727828127</v>
      </c>
      <c r="U31" s="22" t="str">
        <f>IF(O31&lt;パラメータ!$B$8,"リセット推奨","継続可能")</f>
        <v>継続可能</v>
      </c>
      <c r="V31" s="33" t="str">
        <f>IF(B31="ボス","一般外殻＋回復コア","一般ガラス")</f>
        <v>一般ガラス</v>
      </c>
      <c r="W31" s="26">
        <f>ROUNDUP(J31/(パラメータ!$B$37^2),0)</f>
        <v>17</v>
      </c>
    </row>
    <row r="32" spans="1:23">
      <c r="A32" s="21">
        <v>29</v>
      </c>
      <c r="B32" s="22" t="str">
        <f>IF(MOD(A32,パラメータ!$B$15)=0,"ボス","一般")</f>
        <v>一般</v>
      </c>
      <c r="C32" s="23">
        <f>パラメータ!$B$19*(1+パラメータ!$C$19)^(パラメータ!$D$19+INT((A32-1)/パラメータ!$E$19))</f>
        <v>1.7316764476028046</v>
      </c>
      <c r="D32" s="23">
        <f>パラメータ!$B$20*(1+パラメータ!$C$20)^(パラメータ!$D$20+INT((A32-1)/パラメータ!$E$20))</f>
        <v>15.833745156754466</v>
      </c>
      <c r="E32" s="24">
        <f>MIN(1,パラメータ!$B$21*(1+パラメータ!$C$21)^(パラメータ!$D$21+INT((A32-1)/パラメータ!$E$21)))</f>
        <v>0.65238659191462223</v>
      </c>
      <c r="F32" s="23">
        <f>0.5*C32*D32^2*E32</f>
        <v>141.61494324304053</v>
      </c>
      <c r="G32" s="23">
        <f>パラメータ!$B$22*(1+パラメータ!$C$22)^(パラメータ!$D$22+INT((A32-1)/パラメータ!$E$22))</f>
        <v>6.050358899420444</v>
      </c>
      <c r="H32" s="23">
        <f>パラメータ!$B$23+パラメータ!$C$23*(パラメータ!$D$23+INT((A32-1)/パラメータ!$E$23))</f>
        <v>3</v>
      </c>
      <c r="I32" s="23">
        <f>F32*G32*H32</f>
        <v>2570.4636964243541</v>
      </c>
      <c r="J32" s="23">
        <f>IF(B32="ボス",パラメータ!$B$13+パラメータ!$B$14,パラメータ!$B$12)</f>
        <v>24</v>
      </c>
      <c r="K32" s="23">
        <f>パラメータ!$B$39</f>
        <v>1</v>
      </c>
      <c r="L32" s="23">
        <f>K32*(1+パラメータ!$B$9)^(A32-1)*IF(B32="ボス",パラメータ!$B$10,1)</f>
        <v>63.800443600447998</v>
      </c>
      <c r="M32" s="23">
        <f>IF(B32="ボス",L32*パラメータ!$B$11,0)</f>
        <v>0</v>
      </c>
      <c r="N32" s="23">
        <f>MAX(0,I32-M32)</f>
        <v>2570.4636964243541</v>
      </c>
      <c r="O32" s="24">
        <f>F32/L32</f>
        <v>2.2196545235626877</v>
      </c>
      <c r="P32" s="23">
        <f>J32*L32</f>
        <v>1531.2106464107519</v>
      </c>
      <c r="Q32" s="23">
        <f>IF(N32&lt;=0,9999,P32/N32)</f>
        <v>0.59569432882508466</v>
      </c>
      <c r="R32" s="25">
        <f>ROUNDUP(P32/MAX(F32,0.000001),0)</f>
        <v>11</v>
      </c>
      <c r="S32" s="23">
        <f>MIN(パラメータ!$B$38,パラメータ!$B$38*SQRT(MAX(0,F32/L32)))</f>
        <v>1.2</v>
      </c>
      <c r="T32" s="24">
        <f>パラメータ!$B$24*(1+パラメータ!$C$24)^(パラメータ!$D$24+INT((A32-1)/パラメータ!$E$24))</f>
        <v>0.12410625727828127</v>
      </c>
      <c r="U32" s="22" t="str">
        <f>IF(O32&lt;パラメータ!$B$8,"リセット推奨","継続可能")</f>
        <v>継続可能</v>
      </c>
      <c r="V32" s="33" t="str">
        <f>IF(B32="ボス","一般外殻＋回復コア","一般ガラス")</f>
        <v>一般ガラス</v>
      </c>
      <c r="W32" s="26">
        <f>ROUNDUP(J32/(パラメータ!$B$37^2),0)</f>
        <v>17</v>
      </c>
    </row>
    <row r="33" spans="1:23">
      <c r="A33" s="21">
        <v>30</v>
      </c>
      <c r="B33" s="22" t="str">
        <f>IF(MOD(A33,パラメータ!$B$15)=0,"ボス","一般")</f>
        <v>ボス</v>
      </c>
      <c r="C33" s="23">
        <f>パラメータ!$B$19*(1+パラメータ!$C$19)^(パラメータ!$D$19+INT((A33-1)/パラメータ!$E$19))</f>
        <v>1.7316764476028046</v>
      </c>
      <c r="D33" s="23">
        <f>パラメータ!$B$20*(1+パラメータ!$C$20)^(パラメータ!$D$20+INT((A33-1)/パラメータ!$E$20))</f>
        <v>15.833745156754466</v>
      </c>
      <c r="E33" s="24">
        <f>MIN(1,パラメータ!$B$21*(1+パラメータ!$C$21)^(パラメータ!$D$21+INT((A33-1)/パラメータ!$E$21)))</f>
        <v>0.65238659191462223</v>
      </c>
      <c r="F33" s="23">
        <f>0.5*C33*D33^2*E33</f>
        <v>141.61494324304053</v>
      </c>
      <c r="G33" s="23">
        <f>パラメータ!$B$22*(1+パラメータ!$C$22)^(パラメータ!$D$22+INT((A33-1)/パラメータ!$E$22))</f>
        <v>6.050358899420444</v>
      </c>
      <c r="H33" s="23">
        <f>パラメータ!$B$23+パラメータ!$C$23*(パラメータ!$D$23+INT((A33-1)/パラメータ!$E$23))</f>
        <v>3</v>
      </c>
      <c r="I33" s="23">
        <f>F33*G33*H33</f>
        <v>2570.4636964243541</v>
      </c>
      <c r="J33" s="23">
        <f>IF(B33="ボス",パラメータ!$B$13+パラメータ!$B$14,パラメータ!$B$12)</f>
        <v>27</v>
      </c>
      <c r="K33" s="23">
        <f>パラメータ!$B$39</f>
        <v>1</v>
      </c>
      <c r="L33" s="23">
        <f>K33*(1+パラメータ!$B$9)^(A33-1)*IF(B33="ボス",パラメータ!$B$10,1)</f>
        <v>444.05108745911804</v>
      </c>
      <c r="M33" s="23">
        <f>IF(B33="ボス",L33*パラメータ!$B$11,0)</f>
        <v>53.286130495094163</v>
      </c>
      <c r="N33" s="23">
        <f>MAX(0,I33-M33)</f>
        <v>2517.1775659292598</v>
      </c>
      <c r="O33" s="24">
        <f>F33/L33</f>
        <v>0.31891587982222525</v>
      </c>
      <c r="P33" s="23">
        <f>J33*L33</f>
        <v>11989.379361396186</v>
      </c>
      <c r="Q33" s="23">
        <f>IF(N33&lt;=0,9999,P33/N33)</f>
        <v>4.7630248750330404</v>
      </c>
      <c r="R33" s="25">
        <f>ROUNDUP(P33/MAX(F33,0.000001),0)</f>
        <v>85</v>
      </c>
      <c r="S33" s="23">
        <f>MIN(パラメータ!$B$38,パラメータ!$B$38*SQRT(MAX(0,F33/L33)))</f>
        <v>0.67767165127663731</v>
      </c>
      <c r="T33" s="24">
        <f>パラメータ!$B$24*(1+パラメータ!$C$24)^(パラメータ!$D$24+INT((A33-1)/パラメータ!$E$24))</f>
        <v>0.12410625727828127</v>
      </c>
      <c r="U33" s="22" t="str">
        <f>IF(O33&lt;パラメータ!$B$8,"リセット推奨","継続可能")</f>
        <v>リセット推奨</v>
      </c>
      <c r="V33" s="33" t="str">
        <f>IF(B33="ボス","一般外殻＋回復コア","一般ガラス")</f>
        <v>一般外殻＋回復コア</v>
      </c>
      <c r="W33" s="26">
        <f>ROUNDUP(J33/(パラメータ!$B$37^2),0)</f>
        <v>19</v>
      </c>
    </row>
    <row r="34" spans="1:23">
      <c r="A34" s="21">
        <v>31</v>
      </c>
      <c r="B34" s="22" t="str">
        <f>IF(MOD(A34,パラメータ!$B$15)=0,"ボス","一般")</f>
        <v>一般</v>
      </c>
      <c r="C34" s="23">
        <f>パラメータ!$B$19*(1+パラメータ!$C$19)^(パラメータ!$D$19+INT((A34-1)/パラメータ!$E$19))</f>
        <v>1.8009435055069167</v>
      </c>
      <c r="D34" s="23">
        <f>パラメータ!$B$20*(1+パラメータ!$C$20)^(パラメータ!$D$20+INT((A34-1)/パラメータ!$E$20))</f>
        <v>16.150420059889552</v>
      </c>
      <c r="E34" s="24">
        <f>MIN(1,パラメータ!$B$21*(1+パラメータ!$C$21)^(パラメータ!$D$21+INT((A34-1)/パラメータ!$E$21)))</f>
        <v>0.67195818967206089</v>
      </c>
      <c r="F34" s="23">
        <f>0.5*C34*D34^2*E34</f>
        <v>157.82652346090353</v>
      </c>
      <c r="G34" s="23">
        <f>パラメータ!$B$22*(1+パラメータ!$C$22)^(パラメータ!$D$22+INT((A34-1)/パラメータ!$E$22))</f>
        <v>6.2318696664030577</v>
      </c>
      <c r="H34" s="23">
        <f>パラメータ!$B$23+パラメータ!$C$23*(パラメータ!$D$23+INT((A34-1)/パラメータ!$E$23))</f>
        <v>4</v>
      </c>
      <c r="I34" s="23">
        <f>F34*G34*H34</f>
        <v>3934.2172964394208</v>
      </c>
      <c r="J34" s="23">
        <f>IF(B34="ボス",パラメータ!$B$13+パラメータ!$B$14,パラメータ!$B$12)</f>
        <v>24</v>
      </c>
      <c r="K34" s="23">
        <f>パラメータ!$B$39</f>
        <v>1</v>
      </c>
      <c r="L34" s="23">
        <f>K34*(1+パラメータ!$B$9)^(A34-1)*IF(B34="ボス",パラメータ!$B$10,1)</f>
        <v>85.849876908762823</v>
      </c>
      <c r="M34" s="23">
        <f>IF(B34="ボス",L34*パラメータ!$B$11,0)</f>
        <v>0</v>
      </c>
      <c r="N34" s="23">
        <f>MAX(0,I34-M34)</f>
        <v>3934.2172964394208</v>
      </c>
      <c r="O34" s="24">
        <f>F34/L34</f>
        <v>1.8384012784157404</v>
      </c>
      <c r="P34" s="23">
        <f>J34*L34</f>
        <v>2060.3970458103076</v>
      </c>
      <c r="Q34" s="23">
        <f>IF(N34&lt;=0,9999,P34/N34)</f>
        <v>0.52371206025529549</v>
      </c>
      <c r="R34" s="25">
        <f>ROUNDUP(P34/MAX(F34,0.000001),0)</f>
        <v>14</v>
      </c>
      <c r="S34" s="23">
        <f>MIN(パラメータ!$B$38,パラメータ!$B$38*SQRT(MAX(0,F34/L34)))</f>
        <v>1.2</v>
      </c>
      <c r="T34" s="24">
        <f>パラメータ!$B$24*(1+パラメータ!$C$24)^(パラメータ!$D$24+INT((A34-1)/パラメータ!$E$24))</f>
        <v>0.13031157014219533</v>
      </c>
      <c r="U34" s="22" t="str">
        <f>IF(O34&lt;パラメータ!$B$8,"リセット推奨","継続可能")</f>
        <v>継続可能</v>
      </c>
      <c r="V34" s="33" t="str">
        <f>IF(B34="ボス","一般外殻＋回復コア","一般ガラス")</f>
        <v>一般ガラス</v>
      </c>
      <c r="W34" s="26">
        <f>ROUNDUP(J34/(パラメータ!$B$37^2),0)</f>
        <v>17</v>
      </c>
    </row>
    <row r="35" spans="1:23">
      <c r="A35" s="21">
        <v>32</v>
      </c>
      <c r="B35" s="22" t="str">
        <f>IF(MOD(A35,パラメータ!$B$15)=0,"ボス","一般")</f>
        <v>一般</v>
      </c>
      <c r="C35" s="23">
        <f>パラメータ!$B$19*(1+パラメータ!$C$19)^(パラメータ!$D$19+INT((A35-1)/パラメータ!$E$19))</f>
        <v>1.8009435055069167</v>
      </c>
      <c r="D35" s="23">
        <f>パラメータ!$B$20*(1+パラメータ!$C$20)^(パラメータ!$D$20+INT((A35-1)/パラメータ!$E$20))</f>
        <v>16.150420059889552</v>
      </c>
      <c r="E35" s="24">
        <f>MIN(1,パラメータ!$B$21*(1+パラメータ!$C$21)^(パラメータ!$D$21+INT((A35-1)/パラメータ!$E$21)))</f>
        <v>0.67195818967206089</v>
      </c>
      <c r="F35" s="23">
        <f>0.5*C35*D35^2*E35</f>
        <v>157.82652346090353</v>
      </c>
      <c r="G35" s="23">
        <f>パラメータ!$B$22*(1+パラメータ!$C$22)^(パラメータ!$D$22+INT((A35-1)/パラメータ!$E$22))</f>
        <v>6.2318696664030577</v>
      </c>
      <c r="H35" s="23">
        <f>パラメータ!$B$23+パラメータ!$C$23*(パラメータ!$D$23+INT((A35-1)/パラメータ!$E$23))</f>
        <v>4</v>
      </c>
      <c r="I35" s="23">
        <f>F35*G35*H35</f>
        <v>3934.2172964394208</v>
      </c>
      <c r="J35" s="23">
        <f>IF(B35="ボス",パラメータ!$B$13+パラメータ!$B$14,パラメータ!$B$12)</f>
        <v>24</v>
      </c>
      <c r="K35" s="23">
        <f>パラメータ!$B$39</f>
        <v>1</v>
      </c>
      <c r="L35" s="23">
        <f>K35*(1+パラメータ!$B$9)^(A35-1)*IF(B35="ボス",パラメータ!$B$10,1)</f>
        <v>99.585857214164861</v>
      </c>
      <c r="M35" s="23">
        <f>IF(B35="ボス",L35*パラメータ!$B$11,0)</f>
        <v>0</v>
      </c>
      <c r="N35" s="23">
        <f>MAX(0,I35-M35)</f>
        <v>3934.2172964394208</v>
      </c>
      <c r="O35" s="24">
        <f>F35/L35</f>
        <v>1.5848286882894316</v>
      </c>
      <c r="P35" s="23">
        <f>J35*L35</f>
        <v>2390.0605731399564</v>
      </c>
      <c r="Q35" s="23">
        <f>IF(N35&lt;=0,9999,P35/N35)</f>
        <v>0.60750598989614268</v>
      </c>
      <c r="R35" s="25">
        <f>ROUNDUP(P35/MAX(F35,0.000001),0)</f>
        <v>16</v>
      </c>
      <c r="S35" s="23">
        <f>MIN(パラメータ!$B$38,パラメータ!$B$38*SQRT(MAX(0,F35/L35)))</f>
        <v>1.2</v>
      </c>
      <c r="T35" s="24">
        <f>パラメータ!$B$24*(1+パラメータ!$C$24)^(パラメータ!$D$24+INT((A35-1)/パラメータ!$E$24))</f>
        <v>0.13031157014219533</v>
      </c>
      <c r="U35" s="22" t="str">
        <f>IF(O35&lt;パラメータ!$B$8,"リセット推奨","継続可能")</f>
        <v>継続可能</v>
      </c>
      <c r="V35" s="33" t="str">
        <f>IF(B35="ボス","一般外殻＋回復コア","一般ガラス")</f>
        <v>一般ガラス</v>
      </c>
      <c r="W35" s="26">
        <f>ROUNDUP(J35/(パラメータ!$B$37^2),0)</f>
        <v>17</v>
      </c>
    </row>
    <row r="36" spans="1:23">
      <c r="A36" s="21">
        <v>33</v>
      </c>
      <c r="B36" s="22" t="str">
        <f>IF(MOD(A36,パラメータ!$B$15)=0,"ボス","一般")</f>
        <v>一般</v>
      </c>
      <c r="C36" s="23">
        <f>パラメータ!$B$19*(1+パラメータ!$C$19)^(パラメータ!$D$19+INT((A36-1)/パラメータ!$E$19))</f>
        <v>1.8729812457271937</v>
      </c>
      <c r="D36" s="23">
        <f>パラメータ!$B$20*(1+パラメータ!$C$20)^(パラメータ!$D$20+INT((A36-1)/パラメータ!$E$20))</f>
        <v>16.473428461087344</v>
      </c>
      <c r="E36" s="24">
        <f>MIN(1,パラメータ!$B$21*(1+パラメータ!$C$21)^(パラメータ!$D$21+INT((A36-1)/パラメータ!$E$21)))</f>
        <v>0.67195818967206089</v>
      </c>
      <c r="F36" s="23">
        <f>0.5*C36*D36^2*E36</f>
        <v>170.77082360907306</v>
      </c>
      <c r="G36" s="23">
        <f>パラメータ!$B$22*(1+パラメータ!$C$22)^(パラメータ!$D$22+INT((A36-1)/パラメータ!$E$22))</f>
        <v>6.4188257563951483</v>
      </c>
      <c r="H36" s="23">
        <f>パラメータ!$B$23+パラメータ!$C$23*(パラメータ!$D$23+INT((A36-1)/パラメータ!$E$23))</f>
        <v>4</v>
      </c>
      <c r="I36" s="23">
        <f>F36*G36*H36</f>
        <v>4384.5926440909234</v>
      </c>
      <c r="J36" s="23">
        <f>IF(B36="ボス",パラメータ!$B$13+パラメータ!$B$14,パラメータ!$B$12)</f>
        <v>24</v>
      </c>
      <c r="K36" s="23">
        <f>パラメータ!$B$39</f>
        <v>1</v>
      </c>
      <c r="L36" s="23">
        <f>K36*(1+パラメータ!$B$9)^(A36-1)*IF(B36="ボス",パラメータ!$B$10,1)</f>
        <v>115.51959436843124</v>
      </c>
      <c r="M36" s="23">
        <f>IF(B36="ボス",L36*パラメータ!$B$11,0)</f>
        <v>0</v>
      </c>
      <c r="N36" s="23">
        <f>MAX(0,I36-M36)</f>
        <v>4384.5926440909234</v>
      </c>
      <c r="O36" s="24">
        <f>F36/L36</f>
        <v>1.4782844810242917</v>
      </c>
      <c r="P36" s="23">
        <f>J36*L36</f>
        <v>2772.4702648423499</v>
      </c>
      <c r="Q36" s="23">
        <f>IF(N36&lt;=0,9999,P36/N36)</f>
        <v>0.63232105919321457</v>
      </c>
      <c r="R36" s="25">
        <f>ROUNDUP(P36/MAX(F36,0.000001),0)</f>
        <v>17</v>
      </c>
      <c r="S36" s="23">
        <f>MIN(パラメータ!$B$38,パラメータ!$B$38*SQRT(MAX(0,F36/L36)))</f>
        <v>1.2</v>
      </c>
      <c r="T36" s="24">
        <f>パラメータ!$B$24*(1+パラメータ!$C$24)^(パラメータ!$D$24+INT((A36-1)/パラメータ!$E$24))</f>
        <v>0.13031157014219533</v>
      </c>
      <c r="U36" s="22" t="str">
        <f>IF(O36&lt;パラメータ!$B$8,"リセット推奨","継続可能")</f>
        <v>継続可能</v>
      </c>
      <c r="V36" s="33" t="str">
        <f>IF(B36="ボス","一般外殻＋回復コア","一般ガラス")</f>
        <v>一般ガラス</v>
      </c>
      <c r="W36" s="26">
        <f>ROUNDUP(J36/(パラメータ!$B$37^2),0)</f>
        <v>17</v>
      </c>
    </row>
    <row r="37" spans="1:23">
      <c r="A37" s="21">
        <v>34</v>
      </c>
      <c r="B37" s="22" t="str">
        <f>IF(MOD(A37,パラメータ!$B$15)=0,"ボス","一般")</f>
        <v>一般</v>
      </c>
      <c r="C37" s="23">
        <f>パラメータ!$B$19*(1+パラメータ!$C$19)^(パラメータ!$D$19+INT((A37-1)/パラメータ!$E$19))</f>
        <v>1.8729812457271937</v>
      </c>
      <c r="D37" s="23">
        <f>パラメータ!$B$20*(1+パラメータ!$C$20)^(パラメータ!$D$20+INT((A37-1)/パラメータ!$E$20))</f>
        <v>16.473428461087344</v>
      </c>
      <c r="E37" s="24">
        <f>MIN(1,パラメータ!$B$21*(1+パラメータ!$C$21)^(パラメータ!$D$21+INT((A37-1)/パラメータ!$E$21)))</f>
        <v>0.69211693536222274</v>
      </c>
      <c r="F37" s="23">
        <f>0.5*C37*D37^2*E37</f>
        <v>175.89394831734526</v>
      </c>
      <c r="G37" s="23">
        <f>パラメータ!$B$22*(1+パラメータ!$C$22)^(パラメータ!$D$22+INT((A37-1)/パラメータ!$E$22))</f>
        <v>6.4188257563951483</v>
      </c>
      <c r="H37" s="23">
        <f>パラメータ!$B$23+パラメータ!$C$23*(パラメータ!$D$23+INT((A37-1)/パラメータ!$E$23))</f>
        <v>4</v>
      </c>
      <c r="I37" s="23">
        <f>F37*G37*H37</f>
        <v>4516.1304234136514</v>
      </c>
      <c r="J37" s="23">
        <f>IF(B37="ボス",パラメータ!$B$13+パラメータ!$B$14,パラメータ!$B$12)</f>
        <v>24</v>
      </c>
      <c r="K37" s="23">
        <f>パラメータ!$B$39</f>
        <v>1</v>
      </c>
      <c r="L37" s="23">
        <f>K37*(1+パラメータ!$B$9)^(A37-1)*IF(B37="ボス",パラメータ!$B$10,1)</f>
        <v>134.00272946738022</v>
      </c>
      <c r="M37" s="23">
        <f>IF(B37="ボス",L37*パラメータ!$B$11,0)</f>
        <v>0</v>
      </c>
      <c r="N37" s="23">
        <f>MAX(0,I37-M37)</f>
        <v>4516.1304234136514</v>
      </c>
      <c r="O37" s="24">
        <f>F37/L37</f>
        <v>1.3126146684957074</v>
      </c>
      <c r="P37" s="23">
        <f>J37*L37</f>
        <v>3216.0655072171253</v>
      </c>
      <c r="Q37" s="23">
        <f>IF(N37&lt;=0,9999,P37/N37)</f>
        <v>0.71212857151857156</v>
      </c>
      <c r="R37" s="25">
        <f>ROUNDUP(P37/MAX(F37,0.000001),0)</f>
        <v>19</v>
      </c>
      <c r="S37" s="23">
        <f>MIN(パラメータ!$B$38,パラメータ!$B$38*SQRT(MAX(0,F37/L37)))</f>
        <v>1.2</v>
      </c>
      <c r="T37" s="24">
        <f>パラメータ!$B$24*(1+パラメータ!$C$24)^(パラメータ!$D$24+INT((A37-1)/パラメータ!$E$24))</f>
        <v>0.13682714864930509</v>
      </c>
      <c r="U37" s="22" t="str">
        <f>IF(O37&lt;パラメータ!$B$8,"リセット推奨","継続可能")</f>
        <v>継続可能</v>
      </c>
      <c r="V37" s="33" t="str">
        <f>IF(B37="ボス","一般外殻＋回復コア","一般ガラス")</f>
        <v>一般ガラス</v>
      </c>
      <c r="W37" s="26">
        <f>ROUNDUP(J37/(パラメータ!$B$37^2),0)</f>
        <v>17</v>
      </c>
    </row>
    <row r="38" spans="1:23">
      <c r="A38" s="21">
        <v>35</v>
      </c>
      <c r="B38" s="22" t="str">
        <f>IF(MOD(A38,パラメータ!$B$15)=0,"ボス","一般")</f>
        <v>ボス</v>
      </c>
      <c r="C38" s="23">
        <f>パラメータ!$B$19*(1+パラメータ!$C$19)^(パラメータ!$D$19+INT((A38-1)/パラメータ!$E$19))</f>
        <v>1.9479004955562815</v>
      </c>
      <c r="D38" s="23">
        <f>パラメータ!$B$20*(1+パラメータ!$C$20)^(パラメータ!$D$20+INT((A38-1)/パラメータ!$E$20))</f>
        <v>16.802897030309094</v>
      </c>
      <c r="E38" s="24">
        <f>MIN(1,パラメータ!$B$21*(1+パラメータ!$C$21)^(パラメータ!$D$21+INT((A38-1)/パラメータ!$E$21)))</f>
        <v>0.69211693536222274</v>
      </c>
      <c r="F38" s="23">
        <f>0.5*C38*D38^2*E38</f>
        <v>190.32006638254069</v>
      </c>
      <c r="G38" s="23">
        <f>パラメータ!$B$22*(1+パラメータ!$C$22)^(パラメータ!$D$22+INT((A38-1)/パラメータ!$E$22))</f>
        <v>6.6113905290870028</v>
      </c>
      <c r="H38" s="23">
        <f>パラメータ!$B$23+パラメータ!$C$23*(パラメータ!$D$23+INT((A38-1)/パラメータ!$E$23))</f>
        <v>4</v>
      </c>
      <c r="I38" s="23">
        <f>F38*G38*H38</f>
        <v>5033.121137506957</v>
      </c>
      <c r="J38" s="23">
        <f>IF(B38="ボス",パラメータ!$B$13+パラメータ!$B$14,パラメータ!$B$12)</f>
        <v>27</v>
      </c>
      <c r="K38" s="23">
        <f>パラメータ!$B$39</f>
        <v>1</v>
      </c>
      <c r="L38" s="23">
        <f>K38*(1+パラメータ!$B$9)^(A38-1)*IF(B38="ボス",パラメータ!$B$10,1)</f>
        <v>932.65899709296639</v>
      </c>
      <c r="M38" s="23">
        <f>IF(B38="ボス",L38*パラメータ!$B$11,0)</f>
        <v>111.91907965115597</v>
      </c>
      <c r="N38" s="23">
        <f>MAX(0,I38-M38)</f>
        <v>4921.2020578558013</v>
      </c>
      <c r="O38" s="24">
        <f>F38/L38</f>
        <v>0.20406179211882924</v>
      </c>
      <c r="P38" s="23">
        <f>J38*L38</f>
        <v>25181.792921510092</v>
      </c>
      <c r="Q38" s="23">
        <f>IF(N38&lt;=0,9999,P38/N38)</f>
        <v>5.1170004046698212</v>
      </c>
      <c r="R38" s="25">
        <f>ROUNDUP(P38/MAX(F38,0.000001),0)</f>
        <v>133</v>
      </c>
      <c r="S38" s="23">
        <f>MIN(パラメータ!$B$38,パラメータ!$B$38*SQRT(MAX(0,F38/L38)))</f>
        <v>0.54207838976582901</v>
      </c>
      <c r="T38" s="24">
        <f>パラメータ!$B$24*(1+パラメータ!$C$24)^(パラメータ!$D$24+INT((A38-1)/パラメータ!$E$24))</f>
        <v>0.13682714864930509</v>
      </c>
      <c r="U38" s="22" t="str">
        <f>IF(O38&lt;パラメータ!$B$8,"リセット推奨","継続可能")</f>
        <v>リセット推奨</v>
      </c>
      <c r="V38" s="33" t="str">
        <f>IF(B38="ボス","一般外殻＋回復コア","一般ガラス")</f>
        <v>一般外殻＋回復コア</v>
      </c>
      <c r="W38" s="26">
        <f>ROUNDUP(J38/(パラメータ!$B$37^2),0)</f>
        <v>19</v>
      </c>
    </row>
    <row r="39" spans="1:23">
      <c r="A39" s="21">
        <v>36</v>
      </c>
      <c r="B39" s="22" t="str">
        <f>IF(MOD(A39,パラメータ!$B$15)=0,"ボス","一般")</f>
        <v>一般</v>
      </c>
      <c r="C39" s="23">
        <f>パラメータ!$B$19*(1+パラメータ!$C$19)^(パラメータ!$D$19+INT((A39-1)/パラメータ!$E$19))</f>
        <v>1.9479004955562815</v>
      </c>
      <c r="D39" s="23">
        <f>パラメータ!$B$20*(1+パラメータ!$C$20)^(パラメータ!$D$20+INT((A39-1)/パラメータ!$E$20))</f>
        <v>16.802897030309094</v>
      </c>
      <c r="E39" s="24">
        <f>MIN(1,パラメータ!$B$21*(1+パラメータ!$C$21)^(パラメータ!$D$21+INT((A39-1)/パラメータ!$E$21)))</f>
        <v>0.69211693536222274</v>
      </c>
      <c r="F39" s="23">
        <f>0.5*C39*D39^2*E39</f>
        <v>190.32006638254069</v>
      </c>
      <c r="G39" s="23">
        <f>パラメータ!$B$22*(1+パラメータ!$C$22)^(パラメータ!$D$22+INT((A39-1)/パラメータ!$E$22))</f>
        <v>6.6113905290870028</v>
      </c>
      <c r="H39" s="23">
        <f>パラメータ!$B$23+パラメータ!$C$23*(パラメータ!$D$23+INT((A39-1)/パラメータ!$E$23))</f>
        <v>4</v>
      </c>
      <c r="I39" s="23">
        <f>F39*G39*H39</f>
        <v>5033.121137506957</v>
      </c>
      <c r="J39" s="23">
        <f>IF(B39="ボス",パラメータ!$B$13+パラメータ!$B$14,パラメータ!$B$12)</f>
        <v>24</v>
      </c>
      <c r="K39" s="23">
        <f>パラメータ!$B$39</f>
        <v>1</v>
      </c>
      <c r="L39" s="23">
        <f>K39*(1+パラメータ!$B$9)^(A39-1)*IF(B39="ボス",パラメータ!$B$10,1)</f>
        <v>180.31407277130683</v>
      </c>
      <c r="M39" s="23">
        <f>IF(B39="ボス",L39*パラメータ!$B$11,0)</f>
        <v>0</v>
      </c>
      <c r="N39" s="23">
        <f>MAX(0,I39-M39)</f>
        <v>5033.121137506957</v>
      </c>
      <c r="O39" s="24">
        <f>F39/L39</f>
        <v>1.0554920282008411</v>
      </c>
      <c r="P39" s="23">
        <f>J39*L39</f>
        <v>4327.5377465113634</v>
      </c>
      <c r="Q39" s="23">
        <f>IF(N39&lt;=0,9999,P39/N39)</f>
        <v>0.85981195927561394</v>
      </c>
      <c r="R39" s="25">
        <f>ROUNDUP(P39/MAX(F39,0.000001),0)</f>
        <v>23</v>
      </c>
      <c r="S39" s="23">
        <f>MIN(パラメータ!$B$38,パラメータ!$B$38*SQRT(MAX(0,F39/L39)))</f>
        <v>1.2</v>
      </c>
      <c r="T39" s="24">
        <f>パラメータ!$B$24*(1+パラメータ!$C$24)^(パラメータ!$D$24+INT((A39-1)/パラメータ!$E$24))</f>
        <v>0.13682714864930509</v>
      </c>
      <c r="U39" s="22" t="str">
        <f>IF(O39&lt;パラメータ!$B$8,"リセット推奨","継続可能")</f>
        <v>継続可能</v>
      </c>
      <c r="V39" s="33" t="str">
        <f>IF(B39="ボス","一般外殻＋回復コア","一般ガラス")</f>
        <v>一般ガラス</v>
      </c>
      <c r="W39" s="26">
        <f>ROUNDUP(J39/(パラメータ!$B$37^2),0)</f>
        <v>17</v>
      </c>
    </row>
    <row r="40" spans="1:23">
      <c r="A40" s="21">
        <v>37</v>
      </c>
      <c r="B40" s="22" t="str">
        <f>IF(MOD(A40,パラメータ!$B$15)=0,"ボス","一般")</f>
        <v>一般</v>
      </c>
      <c r="C40" s="23">
        <f>パラメータ!$B$19*(1+パラメータ!$C$19)^(パラメータ!$D$19+INT((A40-1)/パラメータ!$E$19))</f>
        <v>2.025816515378533</v>
      </c>
      <c r="D40" s="23">
        <f>パラメータ!$B$20*(1+パラメータ!$C$20)^(パラメータ!$D$20+INT((A40-1)/パラメータ!$E$20))</f>
        <v>17.138954970915272</v>
      </c>
      <c r="E40" s="24">
        <f>MIN(1,パラメータ!$B$21*(1+パラメータ!$C$21)^(パラメータ!$D$21+INT((A40-1)/パラメータ!$E$21)))</f>
        <v>0.71288044342308932</v>
      </c>
      <c r="F40" s="23">
        <f>0.5*C40*D40^2*E40</f>
        <v>212.10723765538017</v>
      </c>
      <c r="G40" s="23">
        <f>パラメータ!$B$22*(1+パラメータ!$C$22)^(パラメータ!$D$22+INT((A40-1)/パラメータ!$E$22))</f>
        <v>6.8097322449596129</v>
      </c>
      <c r="H40" s="23">
        <f>パラメータ!$B$23+パラメータ!$C$23*(パラメータ!$D$23+INT((A40-1)/パラメータ!$E$23))</f>
        <v>4</v>
      </c>
      <c r="I40" s="23">
        <f>F40*G40*H40</f>
        <v>5777.5739826046165</v>
      </c>
      <c r="J40" s="23">
        <f>IF(B40="ボス",パラメータ!$B$13+パラメータ!$B$14,パラメータ!$B$12)</f>
        <v>24</v>
      </c>
      <c r="K40" s="23">
        <f>パラメータ!$B$39</f>
        <v>1</v>
      </c>
      <c r="L40" s="23">
        <f>K40*(1+パラメータ!$B$9)^(A40-1)*IF(B40="ボス",パラメータ!$B$10,1)</f>
        <v>209.16432441471591</v>
      </c>
      <c r="M40" s="23">
        <f>IF(B40="ボス",L40*パラメータ!$B$11,0)</f>
        <v>0</v>
      </c>
      <c r="N40" s="23">
        <f>MAX(0,I40-M40)</f>
        <v>5777.5739826046165</v>
      </c>
      <c r="O40" s="24">
        <f>F40/L40</f>
        <v>1.0140698622908049</v>
      </c>
      <c r="P40" s="23">
        <f>J40*L40</f>
        <v>5019.9437859531818</v>
      </c>
      <c r="Q40" s="23">
        <f>IF(N40&lt;=0,9999,P40/N40)</f>
        <v>0.86886707138107755</v>
      </c>
      <c r="R40" s="25">
        <f>ROUNDUP(P40/MAX(F40,0.000001),0)</f>
        <v>24</v>
      </c>
      <c r="S40" s="23">
        <f>MIN(パラメータ!$B$38,パラメータ!$B$38*SQRT(MAX(0,F40/L40)))</f>
        <v>1.2</v>
      </c>
      <c r="T40" s="24">
        <f>パラメータ!$B$24*(1+パラメータ!$C$24)^(パラメータ!$D$24+INT((A40-1)/パラメータ!$E$24))</f>
        <v>0.14366850608177034</v>
      </c>
      <c r="U40" s="22" t="str">
        <f>IF(O40&lt;パラメータ!$B$8,"リセット推奨","継続可能")</f>
        <v>継続可能</v>
      </c>
      <c r="V40" s="33" t="str">
        <f>IF(B40="ボス","一般外殻＋回復コア","一般ガラス")</f>
        <v>一般ガラス</v>
      </c>
      <c r="W40" s="26">
        <f>ROUNDUP(J40/(パラメータ!$B$37^2),0)</f>
        <v>17</v>
      </c>
    </row>
    <row r="41" spans="1:23">
      <c r="A41" s="21">
        <v>38</v>
      </c>
      <c r="B41" s="22" t="str">
        <f>IF(MOD(A41,パラメータ!$B$15)=0,"ボス","一般")</f>
        <v>一般</v>
      </c>
      <c r="C41" s="23">
        <f>パラメータ!$B$19*(1+パラメータ!$C$19)^(パラメータ!$D$19+INT((A41-1)/パラメータ!$E$19))</f>
        <v>2.025816515378533</v>
      </c>
      <c r="D41" s="23">
        <f>パラメータ!$B$20*(1+パラメータ!$C$20)^(パラメータ!$D$20+INT((A41-1)/パラメータ!$E$20))</f>
        <v>17.138954970915272</v>
      </c>
      <c r="E41" s="24">
        <f>MIN(1,パラメータ!$B$21*(1+パラメータ!$C$21)^(パラメータ!$D$21+INT((A41-1)/パラメータ!$E$21)))</f>
        <v>0.71288044342308932</v>
      </c>
      <c r="F41" s="23">
        <f>0.5*C41*D41^2*E41</f>
        <v>212.10723765538017</v>
      </c>
      <c r="G41" s="23">
        <f>パラメータ!$B$22*(1+パラメータ!$C$22)^(パラメータ!$D$22+INT((A41-1)/パラメータ!$E$22))</f>
        <v>6.8097322449596129</v>
      </c>
      <c r="H41" s="23">
        <f>パラメータ!$B$23+パラメータ!$C$23*(パラメータ!$D$23+INT((A41-1)/パラメータ!$E$23))</f>
        <v>4</v>
      </c>
      <c r="I41" s="23">
        <f>F41*G41*H41</f>
        <v>5777.5739826046165</v>
      </c>
      <c r="J41" s="23">
        <f>IF(B41="ボス",パラメータ!$B$13+パラメータ!$B$14,パラメータ!$B$12)</f>
        <v>24</v>
      </c>
      <c r="K41" s="23">
        <f>パラメータ!$B$39</f>
        <v>1</v>
      </c>
      <c r="L41" s="23">
        <f>K41*(1+パラメータ!$B$9)^(A41-1)*IF(B41="ボス",パラメータ!$B$10,1)</f>
        <v>242.63061632107045</v>
      </c>
      <c r="M41" s="23">
        <f>IF(B41="ボス",L41*パラメータ!$B$11,0)</f>
        <v>0</v>
      </c>
      <c r="N41" s="23">
        <f>MAX(0,I41-M41)</f>
        <v>5777.5739826046165</v>
      </c>
      <c r="O41" s="24">
        <f>F41/L41</f>
        <v>0.87419815714724547</v>
      </c>
      <c r="P41" s="23">
        <f>J41*L41</f>
        <v>5823.134791705691</v>
      </c>
      <c r="Q41" s="23">
        <f>IF(N41&lt;=0,9999,P41/N41)</f>
        <v>1.0078858028020499</v>
      </c>
      <c r="R41" s="25">
        <f>ROUNDUP(P41/MAX(F41,0.000001),0)</f>
        <v>28</v>
      </c>
      <c r="S41" s="23">
        <f>MIN(パラメータ!$B$38,パラメータ!$B$38*SQRT(MAX(0,F41/L41)))</f>
        <v>1.1219827745077164</v>
      </c>
      <c r="T41" s="24">
        <f>パラメータ!$B$24*(1+パラメータ!$C$24)^(パラメータ!$D$24+INT((A41-1)/パラメータ!$E$24))</f>
        <v>0.14366850608177034</v>
      </c>
      <c r="U41" s="22" t="str">
        <f>IF(O41&lt;パラメータ!$B$8,"リセット推奨","継続可能")</f>
        <v>継続可能</v>
      </c>
      <c r="V41" s="33" t="str">
        <f>IF(B41="ボス","一般外殻＋回復コア","一般ガラス")</f>
        <v>一般ガラス</v>
      </c>
      <c r="W41" s="26">
        <f>ROUNDUP(J41/(パラメータ!$B$37^2),0)</f>
        <v>17</v>
      </c>
    </row>
    <row r="42" spans="1:23">
      <c r="A42" s="21">
        <v>39</v>
      </c>
      <c r="B42" s="22" t="str">
        <f>IF(MOD(A42,パラメータ!$B$15)=0,"ボス","一般")</f>
        <v>一般</v>
      </c>
      <c r="C42" s="23">
        <f>パラメータ!$B$19*(1+パラメータ!$C$19)^(パラメータ!$D$19+INT((A42-1)/パラメータ!$E$19))</f>
        <v>2.1068491759936743</v>
      </c>
      <c r="D42" s="23">
        <f>パラメータ!$B$20*(1+パラメータ!$C$20)^(パラメータ!$D$20+INT((A42-1)/パラメータ!$E$20))</f>
        <v>17.481734070333577</v>
      </c>
      <c r="E42" s="24">
        <f>MIN(1,パラメータ!$B$21*(1+パラメータ!$C$21)^(パラメータ!$D$21+INT((A42-1)/パラメータ!$E$21)))</f>
        <v>0.71288044342308932</v>
      </c>
      <c r="F42" s="23">
        <f>0.5*C42*D42^2*E42</f>
        <v>229.50342485892386</v>
      </c>
      <c r="G42" s="23">
        <f>パラメータ!$B$22*(1+パラメータ!$C$22)^(パラメータ!$D$22+INT((A42-1)/パラメータ!$E$22))</f>
        <v>7.0140242123084011</v>
      </c>
      <c r="H42" s="23">
        <f>パラメータ!$B$23+パラメータ!$C$23*(パラメータ!$D$23+INT((A42-1)/パラメータ!$E$23))</f>
        <v>4</v>
      </c>
      <c r="I42" s="23">
        <f>F42*G42*H42</f>
        <v>6438.9703150727755</v>
      </c>
      <c r="J42" s="23">
        <f>IF(B42="ボス",パラメータ!$B$13+パラメータ!$B$14,パラメータ!$B$12)</f>
        <v>24</v>
      </c>
      <c r="K42" s="23">
        <f>パラメータ!$B$39</f>
        <v>1</v>
      </c>
      <c r="L42" s="23">
        <f>K42*(1+パラメータ!$B$9)^(A42-1)*IF(B42="ボス",パラメータ!$B$10,1)</f>
        <v>281.45151493244174</v>
      </c>
      <c r="M42" s="23">
        <f>IF(B42="ボス",L42*パラメータ!$B$11,0)</f>
        <v>0</v>
      </c>
      <c r="N42" s="23">
        <f>MAX(0,I42-M42)</f>
        <v>6438.9703150727755</v>
      </c>
      <c r="O42" s="24">
        <f>F42/L42</f>
        <v>0.81542792517571905</v>
      </c>
      <c r="P42" s="23">
        <f>J42*L42</f>
        <v>6754.8363583786013</v>
      </c>
      <c r="Q42" s="23">
        <f>IF(N42&lt;=0,9999,P42/N42)</f>
        <v>1.0490553656640449</v>
      </c>
      <c r="R42" s="25">
        <f>ROUNDUP(P42/MAX(F42,0.000001),0)</f>
        <v>30</v>
      </c>
      <c r="S42" s="23">
        <f>MIN(パラメータ!$B$38,パラメータ!$B$38*SQRT(MAX(0,F42/L42)))</f>
        <v>1.0836125747946244</v>
      </c>
      <c r="T42" s="24">
        <f>パラメータ!$B$24*(1+パラメータ!$C$24)^(パラメータ!$D$24+INT((A42-1)/パラメータ!$E$24))</f>
        <v>0.14366850608177034</v>
      </c>
      <c r="U42" s="22" t="str">
        <f>IF(O42&lt;パラメータ!$B$8,"リセット推奨","継続可能")</f>
        <v>継続可能</v>
      </c>
      <c r="V42" s="33" t="str">
        <f>IF(B42="ボス","一般外殻＋回復コア","一般ガラス")</f>
        <v>一般ガラス</v>
      </c>
      <c r="W42" s="26">
        <f>ROUNDUP(J42/(パラメータ!$B$37^2),0)</f>
        <v>17</v>
      </c>
    </row>
    <row r="43" spans="1:23">
      <c r="A43" s="21">
        <v>40</v>
      </c>
      <c r="B43" s="22" t="str">
        <f>IF(MOD(A43,パラメータ!$B$15)=0,"ボス","一般")</f>
        <v>ボス</v>
      </c>
      <c r="C43" s="23">
        <f>パラメータ!$B$19*(1+パラメータ!$C$19)^(パラメータ!$D$19+INT((A43-1)/パラメータ!$E$19))</f>
        <v>2.1068491759936743</v>
      </c>
      <c r="D43" s="23">
        <f>パラメータ!$B$20*(1+パラメータ!$C$20)^(パラメータ!$D$20+INT((A43-1)/パラメータ!$E$20))</f>
        <v>17.481734070333577</v>
      </c>
      <c r="E43" s="24">
        <f>MIN(1,パラメータ!$B$21*(1+パラメータ!$C$21)^(パラメータ!$D$21+INT((A43-1)/パラメータ!$E$21)))</f>
        <v>0.73426685672578196</v>
      </c>
      <c r="F43" s="23">
        <f>0.5*C43*D43^2*E43</f>
        <v>236.38852760469155</v>
      </c>
      <c r="G43" s="23">
        <f>パラメータ!$B$22*(1+パラメータ!$C$22)^(パラメータ!$D$22+INT((A43-1)/パラメータ!$E$22))</f>
        <v>7.0140242123084011</v>
      </c>
      <c r="H43" s="23">
        <f>パラメータ!$B$23+パラメータ!$C$23*(パラメータ!$D$23+INT((A43-1)/パラメータ!$E$23))</f>
        <v>4</v>
      </c>
      <c r="I43" s="23">
        <f>F43*G43*H43</f>
        <v>6632.1394245249576</v>
      </c>
      <c r="J43" s="23">
        <f>IF(B43="ボス",パラメータ!$B$13+パラメータ!$B$14,パラメータ!$B$12)</f>
        <v>27</v>
      </c>
      <c r="K43" s="23">
        <f>パラメータ!$B$39</f>
        <v>1</v>
      </c>
      <c r="L43" s="23">
        <f>K43*(1+パラメータ!$B$9)^(A43-1)*IF(B43="ボス",パラメータ!$B$10,1)</f>
        <v>1958.9025439297943</v>
      </c>
      <c r="M43" s="23">
        <f>IF(B43="ボス",L43*パラメータ!$B$11,0)</f>
        <v>235.0683052715753</v>
      </c>
      <c r="N43" s="23">
        <f>MAX(0,I43-M43)</f>
        <v>6397.0711192533827</v>
      </c>
      <c r="O43" s="24">
        <f>F43/L43</f>
        <v>0.12067396019123428</v>
      </c>
      <c r="P43" s="23">
        <f>J43*L43</f>
        <v>52890.368686104448</v>
      </c>
      <c r="Q43" s="23">
        <f>IF(N43&lt;=0,9999,P43/N43)</f>
        <v>8.2679038109986518</v>
      </c>
      <c r="R43" s="25">
        <f>ROUNDUP(P43/MAX(F43,0.000001),0)</f>
        <v>224</v>
      </c>
      <c r="S43" s="23">
        <f>MIN(パラメータ!$B$38,パラメータ!$B$38*SQRT(MAX(0,F43/L43)))</f>
        <v>0.41685789266292822</v>
      </c>
      <c r="T43" s="24">
        <f>パラメータ!$B$24*(1+パラメータ!$C$24)^(パラメータ!$D$24+INT((A43-1)/パラメータ!$E$24))</f>
        <v>0.1508519313858589</v>
      </c>
      <c r="U43" s="22" t="str">
        <f>IF(O43&lt;パラメータ!$B$8,"リセット推奨","継続可能")</f>
        <v>リセット推奨</v>
      </c>
      <c r="V43" s="33" t="str">
        <f>IF(B43="ボス","一般外殻＋回復コア","一般ガラス")</f>
        <v>一般外殻＋回復コア</v>
      </c>
      <c r="W43" s="26">
        <f>ROUNDUP(J43/(パラメータ!$B$37^2),0)</f>
        <v>19</v>
      </c>
    </row>
    <row r="44" spans="1:23">
      <c r="A44" s="21">
        <v>41</v>
      </c>
      <c r="B44" s="22" t="str">
        <f>IF(MOD(A44,パラメータ!$B$15)=0,"ボス","一般")</f>
        <v>一般</v>
      </c>
      <c r="C44" s="23">
        <f>パラメータ!$B$19*(1+パラメータ!$C$19)^(パラメータ!$D$19+INT((A44-1)/パラメータ!$E$19))</f>
        <v>2.1911231430334213</v>
      </c>
      <c r="D44" s="23">
        <f>パラメータ!$B$20*(1+パラメータ!$C$20)^(パラメータ!$D$20+INT((A44-1)/パラメータ!$E$20))</f>
        <v>17.83136875174025</v>
      </c>
      <c r="E44" s="24">
        <f>MIN(1,パラメータ!$B$21*(1+パラメータ!$C$21)^(パラメータ!$D$21+INT((A44-1)/パラメータ!$E$21)))</f>
        <v>0.73426685672578196</v>
      </c>
      <c r="F44" s="23">
        <f>0.5*C44*D44^2*E44</f>
        <v>255.77616908471802</v>
      </c>
      <c r="G44" s="23">
        <f>パラメータ!$B$22*(1+パラメータ!$C$22)^(パラメータ!$D$22+INT((A44-1)/パラメータ!$E$22))</f>
        <v>7.224444938677653</v>
      </c>
      <c r="H44" s="23">
        <f>パラメータ!$B$23+パラメータ!$C$23*(パラメータ!$D$23+INT((A44-1)/パラメータ!$E$23))</f>
        <v>5</v>
      </c>
      <c r="I44" s="23">
        <f>F44*G44*H44</f>
        <v>9239.2042508922532</v>
      </c>
      <c r="J44" s="23">
        <f>IF(B44="ボス",パラメータ!$B$13+パラメータ!$B$14,パラメータ!$B$12)</f>
        <v>24</v>
      </c>
      <c r="K44" s="23">
        <f>パラメータ!$B$39</f>
        <v>1</v>
      </c>
      <c r="L44" s="23">
        <f>K44*(1+パラメータ!$B$9)^(A44-1)*IF(B44="ボス",パラメータ!$B$10,1)</f>
        <v>378.72115849309353</v>
      </c>
      <c r="M44" s="23">
        <f>IF(B44="ボス",L44*パラメータ!$B$11,0)</f>
        <v>0</v>
      </c>
      <c r="N44" s="23">
        <f>MAX(0,I44-M44)</f>
        <v>9239.2042508922532</v>
      </c>
      <c r="O44" s="24">
        <f>F44/L44</f>
        <v>0.67536804677730311</v>
      </c>
      <c r="P44" s="23">
        <f>J44*L44</f>
        <v>9089.3078038342446</v>
      </c>
      <c r="Q44" s="23">
        <f>IF(N44&lt;=0,9999,P44/N44)</f>
        <v>0.98377604358692117</v>
      </c>
      <c r="R44" s="25">
        <f>ROUNDUP(P44/MAX(F44,0.000001),0)</f>
        <v>36</v>
      </c>
      <c r="S44" s="23">
        <f>MIN(パラメータ!$B$38,パラメータ!$B$38*SQRT(MAX(0,F44/L44)))</f>
        <v>0.98616935024331209</v>
      </c>
      <c r="T44" s="24">
        <f>パラメータ!$B$24*(1+パラメータ!$C$24)^(パラメータ!$D$24+INT((A44-1)/パラメータ!$E$24))</f>
        <v>0.1508519313858589</v>
      </c>
      <c r="U44" s="22" t="str">
        <f>IF(O44&lt;パラメータ!$B$8,"リセット推奨","継続可能")</f>
        <v>継続可能</v>
      </c>
      <c r="V44" s="33" t="str">
        <f>IF(B44="ボス","一般外殻＋回復コア","一般ガラス")</f>
        <v>一般ガラス</v>
      </c>
      <c r="W44" s="26">
        <f>ROUNDUP(J44/(パラメータ!$B$37^2),0)</f>
        <v>17</v>
      </c>
    </row>
    <row r="45" spans="1:23">
      <c r="A45" s="21">
        <v>42</v>
      </c>
      <c r="B45" s="22" t="str">
        <f>IF(MOD(A45,パラメータ!$B$15)=0,"ボス","一般")</f>
        <v>一般</v>
      </c>
      <c r="C45" s="23">
        <f>パラメータ!$B$19*(1+パラメータ!$C$19)^(パラメータ!$D$19+INT((A45-1)/パラメータ!$E$19))</f>
        <v>2.1911231430334213</v>
      </c>
      <c r="D45" s="23">
        <f>パラメータ!$B$20*(1+パラメータ!$C$20)^(パラメータ!$D$20+INT((A45-1)/パラメータ!$E$20))</f>
        <v>17.83136875174025</v>
      </c>
      <c r="E45" s="24">
        <f>MIN(1,パラメータ!$B$21*(1+パラメータ!$C$21)^(パラメータ!$D$21+INT((A45-1)/パラメータ!$E$21)))</f>
        <v>0.73426685672578196</v>
      </c>
      <c r="F45" s="23">
        <f>0.5*C45*D45^2*E45</f>
        <v>255.77616908471802</v>
      </c>
      <c r="G45" s="23">
        <f>パラメータ!$B$22*(1+パラメータ!$C$22)^(パラメータ!$D$22+INT((A45-1)/パラメータ!$E$22))</f>
        <v>7.224444938677653</v>
      </c>
      <c r="H45" s="23">
        <f>パラメータ!$B$23+パラメータ!$C$23*(パラメータ!$D$23+INT((A45-1)/パラメータ!$E$23))</f>
        <v>5</v>
      </c>
      <c r="I45" s="23">
        <f>F45*G45*H45</f>
        <v>9239.2042508922532</v>
      </c>
      <c r="J45" s="23">
        <f>IF(B45="ボス",パラメータ!$B$13+パラメータ!$B$14,パラメータ!$B$12)</f>
        <v>24</v>
      </c>
      <c r="K45" s="23">
        <f>パラメータ!$B$39</f>
        <v>1</v>
      </c>
      <c r="L45" s="23">
        <f>K45*(1+パラメータ!$B$9)^(A45-1)*IF(B45="ボス",パラメータ!$B$10,1)</f>
        <v>439.31654385198851</v>
      </c>
      <c r="M45" s="23">
        <f>IF(B45="ボス",L45*パラメータ!$B$11,0)</f>
        <v>0</v>
      </c>
      <c r="N45" s="23">
        <f>MAX(0,I45-M45)</f>
        <v>9239.2042508922532</v>
      </c>
      <c r="O45" s="24">
        <f>F45/L45</f>
        <v>0.58221383342870958</v>
      </c>
      <c r="P45" s="23">
        <f>J45*L45</f>
        <v>10543.597052447723</v>
      </c>
      <c r="Q45" s="23">
        <f>IF(N45&lt;=0,9999,P45/N45)</f>
        <v>1.1411802105608284</v>
      </c>
      <c r="R45" s="25">
        <f>ROUNDUP(P45/MAX(F45,0.000001),0)</f>
        <v>42</v>
      </c>
      <c r="S45" s="23">
        <f>MIN(パラメータ!$B$38,パラメータ!$B$38*SQRT(MAX(0,F45/L45)))</f>
        <v>0.91563525496637677</v>
      </c>
      <c r="T45" s="24">
        <f>パラメータ!$B$24*(1+パラメータ!$C$24)^(パラメータ!$D$24+INT((A45-1)/パラメータ!$E$24))</f>
        <v>0.1508519313858589</v>
      </c>
      <c r="U45" s="22" t="str">
        <f>IF(O45&lt;パラメータ!$B$8,"リセット推奨","継続可能")</f>
        <v>継続可能</v>
      </c>
      <c r="V45" s="33" t="str">
        <f>IF(B45="ボス","一般外殻＋回復コア","一般ガラス")</f>
        <v>一般ガラス</v>
      </c>
      <c r="W45" s="26">
        <f>ROUNDUP(J45/(パラメータ!$B$37^2),0)</f>
        <v>17</v>
      </c>
    </row>
    <row r="46" spans="1:23">
      <c r="A46" s="21">
        <v>43</v>
      </c>
      <c r="B46" s="22" t="str">
        <f>IF(MOD(A46,パラメータ!$B$15)=0,"ボス","一般")</f>
        <v>一般</v>
      </c>
      <c r="C46" s="23">
        <f>パラメータ!$B$19*(1+パラメータ!$C$19)^(パラメータ!$D$19+INT((A46-1)/パラメータ!$E$19))</f>
        <v>2.2787680687547587</v>
      </c>
      <c r="D46" s="23">
        <f>パラメータ!$B$20*(1+パラメータ!$C$20)^(パラメータ!$D$20+INT((A46-1)/パラメータ!$E$20))</f>
        <v>18.187996126775055</v>
      </c>
      <c r="E46" s="24">
        <f>MIN(1,パラメータ!$B$21*(1+パラメータ!$C$21)^(パラメータ!$D$21+INT((A46-1)/パラメータ!$E$21)))</f>
        <v>0.7562948624275555</v>
      </c>
      <c r="F46" s="23">
        <f>0.5*C46*D46^2*E46</f>
        <v>285.05652458942143</v>
      </c>
      <c r="G46" s="23">
        <f>パラメータ!$B$22*(1+パラメータ!$C$22)^(パラメータ!$D$22+INT((A46-1)/パラメータ!$E$22))</f>
        <v>7.4411782868379817</v>
      </c>
      <c r="H46" s="23">
        <f>パラメータ!$B$23+パラメータ!$C$23*(パラメータ!$D$23+INT((A46-1)/パラメータ!$E$23))</f>
        <v>5</v>
      </c>
      <c r="I46" s="23">
        <f>F46*G46*H46</f>
        <v>10605.7821064815</v>
      </c>
      <c r="J46" s="23">
        <f>IF(B46="ボス",パラメータ!$B$13+パラメータ!$B$14,パラメータ!$B$12)</f>
        <v>24</v>
      </c>
      <c r="K46" s="23">
        <f>パラメータ!$B$39</f>
        <v>1</v>
      </c>
      <c r="L46" s="23">
        <f>K46*(1+パラメータ!$B$9)^(A46-1)*IF(B46="ボス",パラメータ!$B$10,1)</f>
        <v>509.60719086830665</v>
      </c>
      <c r="M46" s="23">
        <f>IF(B46="ボス",L46*パラメータ!$B$11,0)</f>
        <v>0</v>
      </c>
      <c r="N46" s="23">
        <f>MAX(0,I46-M46)</f>
        <v>10605.7821064815</v>
      </c>
      <c r="O46" s="24">
        <f>F46/L46</f>
        <v>0.55936519283356445</v>
      </c>
      <c r="P46" s="23">
        <f>J46*L46</f>
        <v>12230.57258083936</v>
      </c>
      <c r="Q46" s="23">
        <f>IF(N46&lt;=0,9999,P46/N46)</f>
        <v>1.153198553208528</v>
      </c>
      <c r="R46" s="25">
        <f>ROUNDUP(P46/MAX(F46,0.000001),0)</f>
        <v>43</v>
      </c>
      <c r="S46" s="23">
        <f>MIN(パラメータ!$B$38,パラメータ!$B$38*SQRT(MAX(0,F46/L46)))</f>
        <v>0.89748865044652948</v>
      </c>
      <c r="T46" s="24">
        <f>パラメータ!$B$24*(1+パラメータ!$C$24)^(パラメータ!$D$24+INT((A46-1)/パラメータ!$E$24))</f>
        <v>0.1583945279551518</v>
      </c>
      <c r="U46" s="22" t="str">
        <f>IF(O46&lt;パラメータ!$B$8,"リセット推奨","継続可能")</f>
        <v>継続可能</v>
      </c>
      <c r="V46" s="33" t="str">
        <f>IF(B46="ボス","一般外殻＋回復コア","一般ガラス")</f>
        <v>一般ガラス</v>
      </c>
      <c r="W46" s="26">
        <f>ROUNDUP(J46/(パラメータ!$B$37^2),0)</f>
        <v>17</v>
      </c>
    </row>
    <row r="47" spans="1:23">
      <c r="A47" s="21">
        <v>44</v>
      </c>
      <c r="B47" s="22" t="str">
        <f>IF(MOD(A47,パラメータ!$B$15)=0,"ボス","一般")</f>
        <v>一般</v>
      </c>
      <c r="C47" s="23">
        <f>パラメータ!$B$19*(1+パラメータ!$C$19)^(パラメータ!$D$19+INT((A47-1)/パラメータ!$E$19))</f>
        <v>2.2787680687547587</v>
      </c>
      <c r="D47" s="23">
        <f>パラメータ!$B$20*(1+パラメータ!$C$20)^(パラメータ!$D$20+INT((A47-1)/パラメータ!$E$20))</f>
        <v>18.187996126775055</v>
      </c>
      <c r="E47" s="24">
        <f>MIN(1,パラメータ!$B$21*(1+パラメータ!$C$21)^(パラメータ!$D$21+INT((A47-1)/パラメータ!$E$21)))</f>
        <v>0.7562948624275555</v>
      </c>
      <c r="F47" s="23">
        <f>0.5*C47*D47^2*E47</f>
        <v>285.05652458942143</v>
      </c>
      <c r="G47" s="23">
        <f>パラメータ!$B$22*(1+パラメータ!$C$22)^(パラメータ!$D$22+INT((A47-1)/パラメータ!$E$22))</f>
        <v>7.4411782868379817</v>
      </c>
      <c r="H47" s="23">
        <f>パラメータ!$B$23+パラメータ!$C$23*(パラメータ!$D$23+INT((A47-1)/パラメータ!$E$23))</f>
        <v>5</v>
      </c>
      <c r="I47" s="23">
        <f>F47*G47*H47</f>
        <v>10605.7821064815</v>
      </c>
      <c r="J47" s="23">
        <f>IF(B47="ボス",パラメータ!$B$13+パラメータ!$B$14,パラメータ!$B$12)</f>
        <v>24</v>
      </c>
      <c r="K47" s="23">
        <f>パラメータ!$B$39</f>
        <v>1</v>
      </c>
      <c r="L47" s="23">
        <f>K47*(1+パラメータ!$B$9)^(A47-1)*IF(B47="ボス",パラメータ!$B$10,1)</f>
        <v>591.14434140723563</v>
      </c>
      <c r="M47" s="23">
        <f>IF(B47="ボス",L47*パラメータ!$B$11,0)</f>
        <v>0</v>
      </c>
      <c r="N47" s="23">
        <f>MAX(0,I47-M47)</f>
        <v>10605.7821064815</v>
      </c>
      <c r="O47" s="24">
        <f>F47/L47</f>
        <v>0.48221137313238321</v>
      </c>
      <c r="P47" s="23">
        <f>J47*L47</f>
        <v>14187.464193773656</v>
      </c>
      <c r="Q47" s="23">
        <f>IF(N47&lt;=0,9999,P47/N47)</f>
        <v>1.3377103217218924</v>
      </c>
      <c r="R47" s="25">
        <f>ROUNDUP(P47/MAX(F47,0.000001),0)</f>
        <v>50</v>
      </c>
      <c r="S47" s="23">
        <f>MIN(パラメータ!$B$38,パラメータ!$B$38*SQRT(MAX(0,F47/L47)))</f>
        <v>0.833297292273671</v>
      </c>
      <c r="T47" s="24">
        <f>パラメータ!$B$24*(1+パラメータ!$C$24)^(パラメータ!$D$24+INT((A47-1)/パラメータ!$E$24))</f>
        <v>0.1583945279551518</v>
      </c>
      <c r="U47" s="22" t="str">
        <f>IF(O47&lt;パラメータ!$B$8,"リセット推奨","継続可能")</f>
        <v>継続可能</v>
      </c>
      <c r="V47" s="33" t="str">
        <f>IF(B47="ボス","一般外殻＋回復コア","一般ガラス")</f>
        <v>一般ガラス</v>
      </c>
      <c r="W47" s="26">
        <f>ROUNDUP(J47/(パラメータ!$B$37^2),0)</f>
        <v>17</v>
      </c>
    </row>
    <row r="48" spans="1:23">
      <c r="A48" s="21">
        <v>45</v>
      </c>
      <c r="B48" s="22" t="str">
        <f>IF(MOD(A48,パラメータ!$B$15)=0,"ボス","一般")</f>
        <v>ボス</v>
      </c>
      <c r="C48" s="23">
        <f>パラメータ!$B$19*(1+パラメータ!$C$19)^(パラメータ!$D$19+INT((A48-1)/パラメータ!$E$19))</f>
        <v>2.3699187915049489</v>
      </c>
      <c r="D48" s="23">
        <f>パラメータ!$B$20*(1+パラメータ!$C$20)^(パラメータ!$D$20+INT((A48-1)/パラメータ!$E$20))</f>
        <v>18.551756049310555</v>
      </c>
      <c r="E48" s="24">
        <f>MIN(1,パラメータ!$B$21*(1+パラメータ!$C$21)^(パラメータ!$D$21+INT((A48-1)/パラメータ!$E$21)))</f>
        <v>0.7562948624275555</v>
      </c>
      <c r="F48" s="23">
        <f>0.5*C48*D48^2*E48</f>
        <v>308.43572051014735</v>
      </c>
      <c r="G48" s="23">
        <f>パラメータ!$B$22*(1+パラメータ!$C$22)^(パラメータ!$D$22+INT((A48-1)/パラメータ!$E$22))</f>
        <v>7.6644136354431218</v>
      </c>
      <c r="H48" s="23">
        <f>パラメータ!$B$23+パラメータ!$C$23*(パラメータ!$D$23+INT((A48-1)/パラメータ!$E$23))</f>
        <v>5</v>
      </c>
      <c r="I48" s="23">
        <f>F48*G48*H48</f>
        <v>11819.894709678485</v>
      </c>
      <c r="J48" s="23">
        <f>IF(B48="ボス",パラメータ!$B$13+パラメータ!$B$14,パラメータ!$B$12)</f>
        <v>27</v>
      </c>
      <c r="K48" s="23">
        <f>パラメータ!$B$39</f>
        <v>1</v>
      </c>
      <c r="L48" s="23">
        <f>K48*(1+パラメータ!$B$9)^(A48-1)*IF(B48="ボス",パラメータ!$B$10,1)</f>
        <v>4114.3646161943598</v>
      </c>
      <c r="M48" s="23">
        <f>IF(B48="ボス",L48*パラメータ!$B$11,0)</f>
        <v>493.72375394332317</v>
      </c>
      <c r="N48" s="23">
        <f>MAX(0,I48-M48)</f>
        <v>11326.170955735162</v>
      </c>
      <c r="O48" s="24">
        <f>F48/L48</f>
        <v>7.4965577745863307E-2</v>
      </c>
      <c r="P48" s="23">
        <f>J48*L48</f>
        <v>111087.84463724772</v>
      </c>
      <c r="Q48" s="23">
        <f>IF(N48&lt;=0,9999,P48/N48)</f>
        <v>9.8080670927006324</v>
      </c>
      <c r="R48" s="25">
        <f>ROUNDUP(P48/MAX(F48,0.000001),0)</f>
        <v>361</v>
      </c>
      <c r="S48" s="23">
        <f>MIN(パラメータ!$B$38,パラメータ!$B$38*SQRT(MAX(0,F48/L48)))</f>
        <v>0.32855811046760536</v>
      </c>
      <c r="T48" s="24">
        <f>パラメータ!$B$24*(1+パラメータ!$C$24)^(パラメータ!$D$24+INT((A48-1)/パラメータ!$E$24))</f>
        <v>0.1583945279551518</v>
      </c>
      <c r="U48" s="22" t="str">
        <f>IF(O48&lt;パラメータ!$B$8,"リセット推奨","継続可能")</f>
        <v>リセット推奨</v>
      </c>
      <c r="V48" s="33" t="str">
        <f>IF(B48="ボス","一般外殻＋回復コア","一般ガラス")</f>
        <v>一般外殻＋回復コア</v>
      </c>
      <c r="W48" s="26">
        <f>ROUNDUP(J48/(パラメータ!$B$37^2),0)</f>
        <v>19</v>
      </c>
    </row>
    <row r="49" spans="1:23">
      <c r="A49" s="21">
        <v>46</v>
      </c>
      <c r="B49" s="22" t="str">
        <f>IF(MOD(A49,パラメータ!$B$15)=0,"ボス","一般")</f>
        <v>一般</v>
      </c>
      <c r="C49" s="23">
        <f>パラメータ!$B$19*(1+パラメータ!$C$19)^(パラメータ!$D$19+INT((A49-1)/パラメータ!$E$19))</f>
        <v>2.3699187915049489</v>
      </c>
      <c r="D49" s="23">
        <f>パラメータ!$B$20*(1+パラメータ!$C$20)^(パラメータ!$D$20+INT((A49-1)/パラメータ!$E$20))</f>
        <v>18.551756049310555</v>
      </c>
      <c r="E49" s="24">
        <f>MIN(1,パラメータ!$B$21*(1+パラメータ!$C$21)^(パラメータ!$D$21+INT((A49-1)/パラメータ!$E$21)))</f>
        <v>0.77898370830038222</v>
      </c>
      <c r="F49" s="23">
        <f>0.5*C49*D49^2*E49</f>
        <v>317.68879212545176</v>
      </c>
      <c r="G49" s="23">
        <f>パラメータ!$B$22*(1+パラメータ!$C$22)^(パラメータ!$D$22+INT((A49-1)/パラメータ!$E$22))</f>
        <v>7.6644136354431218</v>
      </c>
      <c r="H49" s="23">
        <f>パラメータ!$B$23+パラメータ!$C$23*(パラメータ!$D$23+INT((A49-1)/パラメータ!$E$23))</f>
        <v>5</v>
      </c>
      <c r="I49" s="23">
        <f>F49*G49*H49</f>
        <v>12174.49155096884</v>
      </c>
      <c r="J49" s="23">
        <f>IF(B49="ボス",パラメータ!$B$13+パラメータ!$B$14,パラメータ!$B$12)</f>
        <v>24</v>
      </c>
      <c r="K49" s="23">
        <f>パラメータ!$B$39</f>
        <v>1</v>
      </c>
      <c r="L49" s="23">
        <f>K49*(1+パラメータ!$B$9)^(A49-1)*IF(B49="ボス",パラメータ!$B$10,1)</f>
        <v>795.44382579757621</v>
      </c>
      <c r="M49" s="23">
        <f>IF(B49="ボス",L49*パラメータ!$B$11,0)</f>
        <v>0</v>
      </c>
      <c r="N49" s="23">
        <f>MAX(0,I49-M49)</f>
        <v>12174.49155096884</v>
      </c>
      <c r="O49" s="24">
        <f>F49/L49</f>
        <v>0.39938557799089247</v>
      </c>
      <c r="P49" s="23">
        <f>J49*L49</f>
        <v>19090.651819141829</v>
      </c>
      <c r="Q49" s="23">
        <f>IF(N49&lt;=0,9999,P49/N49)</f>
        <v>1.5680861692842198</v>
      </c>
      <c r="R49" s="25">
        <f>ROUNDUP(P49/MAX(F49,0.000001),0)</f>
        <v>61</v>
      </c>
      <c r="S49" s="23">
        <f>MIN(パラメータ!$B$38,パラメータ!$B$38*SQRT(MAX(0,F49/L49)))</f>
        <v>0.75836352253182981</v>
      </c>
      <c r="T49" s="24">
        <f>パラメータ!$B$24*(1+パラメータ!$C$24)^(パラメータ!$D$24+INT((A49-1)/パラメータ!$E$24))</f>
        <v>0.16631425435290945</v>
      </c>
      <c r="U49" s="22" t="str">
        <f>IF(O49&lt;パラメータ!$B$8,"リセット推奨","継続可能")</f>
        <v>継続可能</v>
      </c>
      <c r="V49" s="33" t="str">
        <f>IF(B49="ボス","一般外殻＋回復コア","一般ガラス")</f>
        <v>一般ガラス</v>
      </c>
      <c r="W49" s="26">
        <f>ROUNDUP(J49/(パラメータ!$B$37^2),0)</f>
        <v>17</v>
      </c>
    </row>
    <row r="50" spans="1:23">
      <c r="A50" s="21">
        <v>47</v>
      </c>
      <c r="B50" s="22" t="str">
        <f>IF(MOD(A50,パラメータ!$B$15)=0,"ボス","一般")</f>
        <v>一般</v>
      </c>
      <c r="C50" s="23">
        <f>パラメータ!$B$19*(1+パラメータ!$C$19)^(パラメータ!$D$19+INT((A50-1)/パラメータ!$E$19))</f>
        <v>2.4647155431651466</v>
      </c>
      <c r="D50" s="23">
        <f>パラメータ!$B$20*(1+パラメータ!$C$20)^(パラメータ!$D$20+INT((A50-1)/パラメータ!$E$20))</f>
        <v>18.922791170296765</v>
      </c>
      <c r="E50" s="24">
        <f>MIN(1,パラメータ!$B$21*(1+パラメータ!$C$21)^(パラメータ!$D$21+INT((A50-1)/パラメータ!$E$21)))</f>
        <v>0.77898370830038222</v>
      </c>
      <c r="F50" s="23">
        <f>0.5*C50*D50^2*E50</f>
        <v>343.7443561004128</v>
      </c>
      <c r="G50" s="23">
        <f>パラメータ!$B$22*(1+パラメータ!$C$22)^(パラメータ!$D$22+INT((A50-1)/パラメータ!$E$22))</f>
        <v>7.894346044506416</v>
      </c>
      <c r="H50" s="23">
        <f>パラメータ!$B$23+パラメータ!$C$23*(パラメータ!$D$23+INT((A50-1)/パラメータ!$E$23))</f>
        <v>5</v>
      </c>
      <c r="I50" s="23">
        <f>F50*G50*H50</f>
        <v>13568.184489513495</v>
      </c>
      <c r="J50" s="23">
        <f>IF(B50="ボス",パラメータ!$B$13+パラメータ!$B$14,パラメータ!$B$12)</f>
        <v>24</v>
      </c>
      <c r="K50" s="23">
        <f>パラメータ!$B$39</f>
        <v>1</v>
      </c>
      <c r="L50" s="23">
        <f>K50*(1+パラメータ!$B$9)^(A50-1)*IF(B50="ボス",パラメータ!$B$10,1)</f>
        <v>922.71483792518836</v>
      </c>
      <c r="M50" s="23">
        <f>IF(B50="ボス",L50*パラメータ!$B$11,0)</f>
        <v>0</v>
      </c>
      <c r="N50" s="23">
        <f>MAX(0,I50-M50)</f>
        <v>13568.184489513495</v>
      </c>
      <c r="O50" s="24">
        <f>F50/L50</f>
        <v>0.37253584961671854</v>
      </c>
      <c r="P50" s="23">
        <f>J50*L50</f>
        <v>22145.15611020452</v>
      </c>
      <c r="Q50" s="23">
        <f>IF(N50&lt;=0,9999,P50/N50)</f>
        <v>1.6321384874534945</v>
      </c>
      <c r="R50" s="25">
        <f>ROUNDUP(P50/MAX(F50,0.000001),0)</f>
        <v>65</v>
      </c>
      <c r="S50" s="23">
        <f>MIN(パラメータ!$B$38,パラメータ!$B$38*SQRT(MAX(0,F50/L50)))</f>
        <v>0.7324285790765368</v>
      </c>
      <c r="T50" s="24">
        <f>パラメータ!$B$24*(1+パラメータ!$C$24)^(パラメータ!$D$24+INT((A50-1)/パラメータ!$E$24))</f>
        <v>0.16631425435290945</v>
      </c>
      <c r="U50" s="22" t="str">
        <f>IF(O50&lt;パラメータ!$B$8,"リセット推奨","継続可能")</f>
        <v>継続可能</v>
      </c>
      <c r="V50" s="33" t="str">
        <f>IF(B50="ボス","一般外殻＋回復コア","一般ガラス")</f>
        <v>一般ガラス</v>
      </c>
      <c r="W50" s="26">
        <f>ROUNDUP(J50/(パラメータ!$B$37^2),0)</f>
        <v>17</v>
      </c>
    </row>
    <row r="51" spans="1:23">
      <c r="A51" s="21">
        <v>48</v>
      </c>
      <c r="B51" s="22" t="str">
        <f>IF(MOD(A51,パラメータ!$B$15)=0,"ボス","一般")</f>
        <v>一般</v>
      </c>
      <c r="C51" s="23">
        <f>パラメータ!$B$19*(1+パラメータ!$C$19)^(パラメータ!$D$19+INT((A51-1)/パラメータ!$E$19))</f>
        <v>2.4647155431651466</v>
      </c>
      <c r="D51" s="23">
        <f>パラメータ!$B$20*(1+パラメータ!$C$20)^(パラメータ!$D$20+INT((A51-1)/パラメータ!$E$20))</f>
        <v>18.922791170296765</v>
      </c>
      <c r="E51" s="24">
        <f>MIN(1,パラメータ!$B$21*(1+パラメータ!$C$21)^(パラメータ!$D$21+INT((A51-1)/パラメータ!$E$21)))</f>
        <v>0.77898370830038222</v>
      </c>
      <c r="F51" s="23">
        <f>0.5*C51*D51^2*E51</f>
        <v>343.7443561004128</v>
      </c>
      <c r="G51" s="23">
        <f>パラメータ!$B$22*(1+パラメータ!$C$22)^(パラメータ!$D$22+INT((A51-1)/パラメータ!$E$22))</f>
        <v>7.894346044506416</v>
      </c>
      <c r="H51" s="23">
        <f>パラメータ!$B$23+パラメータ!$C$23*(パラメータ!$D$23+INT((A51-1)/パラメータ!$E$23))</f>
        <v>5</v>
      </c>
      <c r="I51" s="23">
        <f>F51*G51*H51</f>
        <v>13568.184489513495</v>
      </c>
      <c r="J51" s="23">
        <f>IF(B51="ボス",パラメータ!$B$13+パラメータ!$B$14,パラメータ!$B$12)</f>
        <v>24</v>
      </c>
      <c r="K51" s="23">
        <f>パラメータ!$B$39</f>
        <v>1</v>
      </c>
      <c r="L51" s="23">
        <f>K51*(1+パラメータ!$B$9)^(A51-1)*IF(B51="ボス",パラメータ!$B$10,1)</f>
        <v>1070.3492119932184</v>
      </c>
      <c r="M51" s="23">
        <f>IF(B51="ボス",L51*パラメータ!$B$11,0)</f>
        <v>0</v>
      </c>
      <c r="N51" s="23">
        <f>MAX(0,I51-M51)</f>
        <v>13568.184489513495</v>
      </c>
      <c r="O51" s="24">
        <f>F51/L51</f>
        <v>0.32115159449717118</v>
      </c>
      <c r="P51" s="23">
        <f>J51*L51</f>
        <v>25688.381087837242</v>
      </c>
      <c r="Q51" s="23">
        <f>IF(N51&lt;=0,9999,P51/N51)</f>
        <v>1.8932806454460536</v>
      </c>
      <c r="R51" s="25">
        <f>ROUNDUP(P51/MAX(F51,0.000001),0)</f>
        <v>75</v>
      </c>
      <c r="S51" s="23">
        <f>MIN(パラメータ!$B$38,パラメータ!$B$38*SQRT(MAX(0,F51/L51)))</f>
        <v>0.68004286341077536</v>
      </c>
      <c r="T51" s="24">
        <f>パラメータ!$B$24*(1+パラメータ!$C$24)^(パラメータ!$D$24+INT((A51-1)/パラメータ!$E$24))</f>
        <v>0.16631425435290945</v>
      </c>
      <c r="U51" s="22" t="str">
        <f>IF(O51&lt;パラメータ!$B$8,"リセット推奨","継続可能")</f>
        <v>リセット推奨</v>
      </c>
      <c r="V51" s="33" t="str">
        <f>IF(B51="ボス","一般外殻＋回復コア","一般ガラス")</f>
        <v>一般ガラス</v>
      </c>
      <c r="W51" s="26">
        <f>ROUNDUP(J51/(パラメータ!$B$37^2),0)</f>
        <v>17</v>
      </c>
    </row>
    <row r="52" spans="1:23">
      <c r="A52" s="21">
        <v>49</v>
      </c>
      <c r="B52" s="22" t="str">
        <f>IF(MOD(A52,パラメータ!$B$15)=0,"ボス","一般")</f>
        <v>一般</v>
      </c>
      <c r="C52" s="23">
        <f>パラメータ!$B$19*(1+パラメータ!$C$19)^(パラメータ!$D$19+INT((A52-1)/パラメータ!$E$19))</f>
        <v>2.5633041648917527</v>
      </c>
      <c r="D52" s="23">
        <f>パラメータ!$B$20*(1+パラメータ!$C$20)^(パラメータ!$D$20+INT((A52-1)/パラメータ!$E$20))</f>
        <v>19.301246993702701</v>
      </c>
      <c r="E52" s="24">
        <f>MIN(1,パラメータ!$B$21*(1+パラメータ!$C$21)^(パラメータ!$D$21+INT((A52-1)/パラメータ!$E$21)))</f>
        <v>0.80235321954939354</v>
      </c>
      <c r="F52" s="23">
        <f>0.5*C52*D52^2*E52</f>
        <v>383.09500000665457</v>
      </c>
      <c r="G52" s="23">
        <f>パラメータ!$B$22*(1+パラメータ!$C$22)^(パラメータ!$D$22+INT((A52-1)/パラメータ!$E$22))</f>
        <v>8.1311764258416073</v>
      </c>
      <c r="H52" s="23">
        <f>パラメータ!$B$23+パラメータ!$C$23*(パラメータ!$D$23+INT((A52-1)/パラメータ!$E$23))</f>
        <v>5</v>
      </c>
      <c r="I52" s="23">
        <f>F52*G52*H52</f>
        <v>15575.065164559501</v>
      </c>
      <c r="J52" s="23">
        <f>IF(B52="ボス",パラメータ!$B$13+パラメータ!$B$14,パラメータ!$B$12)</f>
        <v>24</v>
      </c>
      <c r="K52" s="23">
        <f>パラメータ!$B$39</f>
        <v>1</v>
      </c>
      <c r="L52" s="23">
        <f>K52*(1+パラメータ!$B$9)^(A52-1)*IF(B52="ボス",パラメータ!$B$10,1)</f>
        <v>1241.6050859121335</v>
      </c>
      <c r="M52" s="23">
        <f>IF(B52="ボス",L52*パラメータ!$B$11,0)</f>
        <v>0</v>
      </c>
      <c r="N52" s="23">
        <f>MAX(0,I52-M52)</f>
        <v>15575.065164559501</v>
      </c>
      <c r="O52" s="24">
        <f>F52/L52</f>
        <v>0.30854818843240917</v>
      </c>
      <c r="P52" s="23">
        <f>J52*L52</f>
        <v>29798.522061891206</v>
      </c>
      <c r="Q52" s="23">
        <f>IF(N52&lt;=0,9999,P52/N52)</f>
        <v>1.9132197359723842</v>
      </c>
      <c r="R52" s="25">
        <f>ROUNDUP(P52/MAX(F52,0.000001),0)</f>
        <v>78</v>
      </c>
      <c r="S52" s="23">
        <f>MIN(パラメータ!$B$38,パラメータ!$B$38*SQRT(MAX(0,F52/L52)))</f>
        <v>0.6665653691444442</v>
      </c>
      <c r="T52" s="24">
        <f>パラメータ!$B$24*(1+パラメータ!$C$24)^(パラメータ!$D$24+INT((A52-1)/パラメータ!$E$24))</f>
        <v>0.17462996707055489</v>
      </c>
      <c r="U52" s="22" t="str">
        <f>IF(O52&lt;パラメータ!$B$8,"リセット推奨","継続可能")</f>
        <v>リセット推奨</v>
      </c>
      <c r="V52" s="33" t="str">
        <f>IF(B52="ボス","一般外殻＋回復コア","一般ガラス")</f>
        <v>一般ガラス</v>
      </c>
      <c r="W52" s="26">
        <f>ROUNDUP(J52/(パラメータ!$B$37^2),0)</f>
        <v>17</v>
      </c>
    </row>
    <row r="53" spans="1:23">
      <c r="A53" s="27">
        <v>50</v>
      </c>
      <c r="B53" s="28" t="str">
        <f>IF(MOD(A53,パラメータ!$B$15)=0,"ボス","一般")</f>
        <v>ボス</v>
      </c>
      <c r="C53" s="29">
        <f>パラメータ!$B$19*(1+パラメータ!$C$19)^(パラメータ!$D$19+INT((A53-1)/パラメータ!$E$19))</f>
        <v>2.5633041648917527</v>
      </c>
      <c r="D53" s="29">
        <f>パラメータ!$B$20*(1+パラメータ!$C$20)^(パラメータ!$D$20+INT((A53-1)/パラメータ!$E$20))</f>
        <v>19.301246993702701</v>
      </c>
      <c r="E53" s="30">
        <f>MIN(1,パラメータ!$B$21*(1+パラメータ!$C$21)^(パラメータ!$D$21+INT((A53-1)/パラメータ!$E$21)))</f>
        <v>0.80235321954939354</v>
      </c>
      <c r="F53" s="29">
        <f>0.5*C53*D53^2*E53</f>
        <v>383.09500000665457</v>
      </c>
      <c r="G53" s="29">
        <f>パラメータ!$B$22*(1+パラメータ!$C$22)^(パラメータ!$D$22+INT((A53-1)/パラメータ!$E$22))</f>
        <v>8.1311764258416073</v>
      </c>
      <c r="H53" s="29">
        <f>パラメータ!$B$23+パラメータ!$C$23*(パラメータ!$D$23+INT((A53-1)/パラメータ!$E$23))</f>
        <v>5</v>
      </c>
      <c r="I53" s="29">
        <f>F53*G53*H53</f>
        <v>15575.065164559501</v>
      </c>
      <c r="J53" s="29">
        <f>IF(B53="ボス",パラメータ!$B$13+パラメータ!$B$14,パラメータ!$B$12)</f>
        <v>27</v>
      </c>
      <c r="K53" s="29">
        <f>パラメータ!$B$39</f>
        <v>1</v>
      </c>
      <c r="L53" s="29">
        <f>K53*(1+パラメータ!$B$9)^(A53-1)*IF(B53="ボス",パラメータ!$B$10,1)</f>
        <v>8641.5713979484481</v>
      </c>
      <c r="M53" s="29">
        <f>IF(B53="ボス",L53*パラメータ!$B$11,0)</f>
        <v>1036.9885677538136</v>
      </c>
      <c r="N53" s="29">
        <f>MAX(0,I53-M53)</f>
        <v>14538.076596805688</v>
      </c>
      <c r="O53" s="30">
        <f>F53/L53</f>
        <v>4.4331636269024317E-2</v>
      </c>
      <c r="P53" s="29">
        <f>J53*L53</f>
        <v>233322.42774460811</v>
      </c>
      <c r="Q53" s="29">
        <f>IF(N53&lt;=0,9999,P53/N53)</f>
        <v>16.049057534603566</v>
      </c>
      <c r="R53" s="31">
        <f>ROUNDUP(P53/MAX(F53,0.000001),0)</f>
        <v>610</v>
      </c>
      <c r="S53" s="29">
        <f>MIN(パラメータ!$B$38,パラメータ!$B$38*SQRT(MAX(0,F53/L53)))</f>
        <v>0.25266095113292641</v>
      </c>
      <c r="T53" s="30">
        <f>パラメータ!$B$24*(1+パラメータ!$C$24)^(パラメータ!$D$24+INT((A53-1)/パラメータ!$E$24))</f>
        <v>0.17462996707055489</v>
      </c>
      <c r="U53" s="28" t="str">
        <f>IF(O53&lt;パラメータ!$B$8,"リセット推奨","継続可能")</f>
        <v>リセット推奨</v>
      </c>
      <c r="V53" s="34" t="str">
        <f>IF(B53="ボス","一般外殻＋回復コア","一般ガラス")</f>
        <v>一般外殻＋回復コア</v>
      </c>
      <c r="W53" s="32">
        <f>ROUNDUP(J53/(パラメータ!$B$37^2),0)</f>
        <v>19</v>
      </c>
    </row>
  </sheetData>
  <mergeCells count="1">
    <mergeCell ref="A1:W2"/>
  </mergeCells>
  <phoneticPr fontId="3"/>
  <conditionalFormatting sqref="A4:W53">
    <cfRule type="expression" dxfId="30" priority="1" stopIfTrue="1">
      <formula>$B4="ボス"</formula>
    </cfRule>
  </conditionalFormatting>
  <conditionalFormatting sqref="U4:U53">
    <cfRule type="expression" dxfId="29" priority="2" stopIfTrue="1">
      <formula>$U4="リセット推奨"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078D7-E4A5-4C8F-9D61-B12AD4BD9366}">
  <dimension ref="A1:F19"/>
  <sheetViews>
    <sheetView showGridLines="0" workbookViewId="0">
      <pane ySplit="4" topLeftCell="A5" activePane="bottomLeft" state="frozenSplit"/>
      <selection pane="bottomLeft" sqref="A1:F2"/>
    </sheetView>
  </sheetViews>
  <sheetFormatPr defaultRowHeight="14.25"/>
  <cols>
    <col min="1" max="1" width="18.625" style="1" customWidth="1"/>
    <col min="2" max="2" width="24.625" style="1" customWidth="1"/>
    <col min="3" max="3" width="34.625" style="1" customWidth="1"/>
    <col min="4" max="4" width="32.625" style="1" customWidth="1"/>
    <col min="5" max="5" width="12.625" style="1" customWidth="1"/>
    <col min="6" max="6" width="36.625" style="1" customWidth="1"/>
    <col min="7" max="16384" width="9" style="1"/>
  </cols>
  <sheetData>
    <row r="1" spans="1:6" ht="27.95" customHeight="1">
      <c r="A1" s="2" t="s">
        <v>99</v>
      </c>
      <c r="B1" s="2"/>
      <c r="C1" s="2"/>
      <c r="D1" s="2"/>
      <c r="E1" s="2"/>
      <c r="F1" s="2"/>
    </row>
    <row r="2" spans="1:6" ht="27.95" customHeight="1">
      <c r="A2" s="2"/>
      <c r="B2" s="2"/>
      <c r="C2" s="2"/>
      <c r="D2" s="2"/>
      <c r="E2" s="2"/>
      <c r="F2" s="2"/>
    </row>
    <row r="4" spans="1:6">
      <c r="A4" s="35" t="s">
        <v>100</v>
      </c>
      <c r="B4" s="35" t="s">
        <v>68</v>
      </c>
      <c r="C4" s="35" t="s">
        <v>101</v>
      </c>
      <c r="D4" s="35" t="s">
        <v>102</v>
      </c>
      <c r="E4" s="35" t="s">
        <v>103</v>
      </c>
      <c r="F4" s="35" t="s">
        <v>37</v>
      </c>
    </row>
    <row r="5" spans="1:6" ht="33.950000000000003" customHeight="1">
      <c r="A5" s="36" t="s">
        <v>104</v>
      </c>
      <c r="B5" s="9" t="s">
        <v>105</v>
      </c>
      <c r="C5" s="9" t="s">
        <v>106</v>
      </c>
      <c r="D5" s="9" t="s">
        <v>107</v>
      </c>
      <c r="E5" s="9" t="s">
        <v>108</v>
      </c>
      <c r="F5" s="9"/>
    </row>
    <row r="6" spans="1:6" ht="33.950000000000003" customHeight="1">
      <c r="A6" s="36" t="s">
        <v>104</v>
      </c>
      <c r="B6" s="9" t="s">
        <v>109</v>
      </c>
      <c r="C6" s="9" t="s">
        <v>110</v>
      </c>
      <c r="D6" s="9" t="s">
        <v>107</v>
      </c>
      <c r="E6" s="9" t="s">
        <v>108</v>
      </c>
      <c r="F6" s="9" t="s">
        <v>111</v>
      </c>
    </row>
    <row r="7" spans="1:6" ht="33.950000000000003" customHeight="1">
      <c r="A7" s="36" t="s">
        <v>104</v>
      </c>
      <c r="B7" s="9" t="s">
        <v>112</v>
      </c>
      <c r="C7" s="9" t="s">
        <v>113</v>
      </c>
      <c r="D7" s="9" t="s">
        <v>114</v>
      </c>
      <c r="E7" s="9" t="s">
        <v>108</v>
      </c>
      <c r="F7" s="9"/>
    </row>
    <row r="8" spans="1:6" ht="33.950000000000003" customHeight="1">
      <c r="A8" s="36" t="s">
        <v>104</v>
      </c>
      <c r="B8" s="9" t="s">
        <v>115</v>
      </c>
      <c r="C8" s="9" t="s">
        <v>116</v>
      </c>
      <c r="D8" s="9" t="s">
        <v>117</v>
      </c>
      <c r="E8" s="9" t="s">
        <v>108</v>
      </c>
      <c r="F8" s="9"/>
    </row>
    <row r="9" spans="1:6" ht="33.950000000000003" customHeight="1">
      <c r="A9" s="36" t="s">
        <v>104</v>
      </c>
      <c r="B9" s="9" t="s">
        <v>118</v>
      </c>
      <c r="C9" s="9" t="s">
        <v>119</v>
      </c>
      <c r="D9" s="9" t="s">
        <v>117</v>
      </c>
      <c r="E9" s="9" t="s">
        <v>108</v>
      </c>
      <c r="F9" s="9"/>
    </row>
    <row r="10" spans="1:6" ht="33.950000000000003" customHeight="1">
      <c r="A10" s="36" t="s">
        <v>104</v>
      </c>
      <c r="B10" s="9" t="s">
        <v>120</v>
      </c>
      <c r="C10" s="9" t="s">
        <v>121</v>
      </c>
      <c r="D10" s="9" t="s">
        <v>122</v>
      </c>
      <c r="E10" s="9" t="s">
        <v>108</v>
      </c>
      <c r="F10" s="9" t="s">
        <v>123</v>
      </c>
    </row>
    <row r="11" spans="1:6" ht="33.950000000000003" customHeight="1">
      <c r="A11" s="37" t="s">
        <v>124</v>
      </c>
      <c r="B11" s="9" t="s">
        <v>125</v>
      </c>
      <c r="C11" s="9" t="s">
        <v>126</v>
      </c>
      <c r="D11" s="9" t="s">
        <v>127</v>
      </c>
      <c r="E11" s="9" t="s">
        <v>108</v>
      </c>
      <c r="F11" s="9" t="s">
        <v>128</v>
      </c>
    </row>
    <row r="12" spans="1:6" ht="33.950000000000003" customHeight="1">
      <c r="A12" s="37" t="s">
        <v>124</v>
      </c>
      <c r="B12" s="9" t="s">
        <v>129</v>
      </c>
      <c r="C12" s="9" t="s">
        <v>130</v>
      </c>
      <c r="D12" s="9" t="s">
        <v>127</v>
      </c>
      <c r="E12" s="9" t="s">
        <v>108</v>
      </c>
      <c r="F12" s="9"/>
    </row>
    <row r="13" spans="1:6" ht="33.950000000000003" customHeight="1">
      <c r="A13" s="37" t="s">
        <v>124</v>
      </c>
      <c r="B13" s="9" t="s">
        <v>131</v>
      </c>
      <c r="C13" s="9" t="s">
        <v>132</v>
      </c>
      <c r="D13" s="9" t="s">
        <v>62</v>
      </c>
      <c r="E13" s="9" t="s">
        <v>108</v>
      </c>
      <c r="F13" s="9"/>
    </row>
    <row r="14" spans="1:6" ht="33.950000000000003" customHeight="1">
      <c r="A14" s="37" t="s">
        <v>124</v>
      </c>
      <c r="B14" s="9" t="s">
        <v>133</v>
      </c>
      <c r="C14" s="9" t="s">
        <v>134</v>
      </c>
      <c r="D14" s="9" t="s">
        <v>127</v>
      </c>
      <c r="E14" s="9" t="s">
        <v>108</v>
      </c>
      <c r="F14" s="9"/>
    </row>
    <row r="15" spans="1:6" ht="33.950000000000003" customHeight="1">
      <c r="A15" s="37" t="s">
        <v>124</v>
      </c>
      <c r="B15" s="9" t="s">
        <v>135</v>
      </c>
      <c r="C15" s="9" t="s">
        <v>136</v>
      </c>
      <c r="D15" s="9" t="s">
        <v>127</v>
      </c>
      <c r="E15" s="9" t="s">
        <v>108</v>
      </c>
      <c r="F15" s="9"/>
    </row>
    <row r="16" spans="1:6" ht="33.950000000000003" customHeight="1">
      <c r="A16" s="37" t="s">
        <v>124</v>
      </c>
      <c r="B16" s="9" t="s">
        <v>137</v>
      </c>
      <c r="C16" s="9" t="s">
        <v>138</v>
      </c>
      <c r="D16" s="9" t="s">
        <v>127</v>
      </c>
      <c r="E16" s="9" t="s">
        <v>108</v>
      </c>
      <c r="F16" s="9"/>
    </row>
    <row r="17" spans="1:6" ht="33.950000000000003" customHeight="1">
      <c r="A17" s="38" t="s">
        <v>139</v>
      </c>
      <c r="B17" s="9" t="s">
        <v>71</v>
      </c>
      <c r="C17" s="9" t="s">
        <v>140</v>
      </c>
      <c r="D17" s="9" t="s">
        <v>141</v>
      </c>
      <c r="E17" s="9" t="s">
        <v>108</v>
      </c>
      <c r="F17" s="9" t="s">
        <v>142</v>
      </c>
    </row>
    <row r="18" spans="1:6" ht="33.950000000000003" customHeight="1">
      <c r="A18" s="38" t="s">
        <v>139</v>
      </c>
      <c r="B18" s="9" t="s">
        <v>74</v>
      </c>
      <c r="C18" s="9" t="s">
        <v>143</v>
      </c>
      <c r="D18" s="9" t="s">
        <v>144</v>
      </c>
      <c r="E18" s="9" t="s">
        <v>108</v>
      </c>
      <c r="F18" s="9" t="s">
        <v>145</v>
      </c>
    </row>
    <row r="19" spans="1:6" ht="33.950000000000003" customHeight="1">
      <c r="A19" s="38" t="s">
        <v>139</v>
      </c>
      <c r="B19" s="9" t="s">
        <v>77</v>
      </c>
      <c r="C19" s="9" t="s">
        <v>146</v>
      </c>
      <c r="D19" s="9" t="s">
        <v>147</v>
      </c>
      <c r="E19" s="9" t="s">
        <v>108</v>
      </c>
      <c r="F19" s="9" t="s">
        <v>148</v>
      </c>
    </row>
  </sheetData>
  <mergeCells count="1">
    <mergeCell ref="A1:F2"/>
  </mergeCells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DBA9-AC2F-4F5E-9962-224C9FA53F80}">
  <dimension ref="A1:F27"/>
  <sheetViews>
    <sheetView showGridLines="0" workbookViewId="0"/>
  </sheetViews>
  <sheetFormatPr defaultRowHeight="14.25"/>
  <cols>
    <col min="1" max="1" width="30.625" style="1" customWidth="1"/>
    <col min="2" max="3" width="48.625" style="1" customWidth="1"/>
    <col min="4" max="6" width="12.625" style="1" customWidth="1"/>
    <col min="7" max="16384" width="9" style="1"/>
  </cols>
  <sheetData>
    <row r="1" spans="1:6" ht="27.95" customHeight="1">
      <c r="A1" s="2" t="s">
        <v>149</v>
      </c>
      <c r="B1" s="2"/>
      <c r="C1" s="2"/>
      <c r="D1" s="2"/>
      <c r="E1" s="2"/>
      <c r="F1" s="2"/>
    </row>
    <row r="2" spans="1:6" ht="27.95" customHeight="1">
      <c r="A2" s="2"/>
      <c r="B2" s="2"/>
      <c r="C2" s="2"/>
      <c r="D2" s="2"/>
      <c r="E2" s="2"/>
      <c r="F2" s="2"/>
    </row>
    <row r="4" spans="1:6" ht="21.95" customHeight="1">
      <c r="A4" s="5" t="s">
        <v>150</v>
      </c>
      <c r="B4" s="5"/>
      <c r="C4" s="5"/>
      <c r="D4" s="5"/>
      <c r="E4" s="5"/>
      <c r="F4" s="5"/>
    </row>
    <row r="5" spans="1:6" ht="21.95" customHeight="1">
      <c r="A5" s="39" t="s">
        <v>151</v>
      </c>
      <c r="B5" s="39"/>
      <c r="C5" s="39"/>
      <c r="D5" s="39"/>
      <c r="E5" s="39"/>
      <c r="F5" s="39"/>
    </row>
    <row r="6" spans="1:6" ht="21.95" customHeight="1">
      <c r="A6" s="39"/>
      <c r="B6" s="39"/>
      <c r="C6" s="39"/>
      <c r="D6" s="39"/>
      <c r="E6" s="39"/>
      <c r="F6" s="39"/>
    </row>
    <row r="7" spans="1:6" ht="21.95" customHeight="1">
      <c r="A7" s="39"/>
      <c r="B7" s="39"/>
      <c r="C7" s="39"/>
      <c r="D7" s="39"/>
      <c r="E7" s="39"/>
      <c r="F7" s="39"/>
    </row>
    <row r="8" spans="1:6" ht="21.95" customHeight="1">
      <c r="A8" s="39"/>
      <c r="B8" s="39"/>
      <c r="C8" s="39"/>
      <c r="D8" s="39"/>
      <c r="E8" s="39"/>
      <c r="F8" s="39"/>
    </row>
    <row r="10" spans="1:6" ht="21.95" customHeight="1">
      <c r="A10" s="5" t="s">
        <v>152</v>
      </c>
      <c r="B10" s="5"/>
      <c r="C10" s="5"/>
      <c r="D10" s="5"/>
      <c r="E10" s="5"/>
      <c r="F10" s="5"/>
    </row>
    <row r="11" spans="1:6" ht="57">
      <c r="A11" s="40" t="s">
        <v>153</v>
      </c>
      <c r="B11" s="41" t="s">
        <v>154</v>
      </c>
    </row>
    <row r="12" spans="1:6" ht="57">
      <c r="A12" s="40" t="s">
        <v>85</v>
      </c>
      <c r="B12" s="41" t="s">
        <v>155</v>
      </c>
    </row>
    <row r="13" spans="1:6" ht="85.5">
      <c r="A13" s="40" t="s">
        <v>88</v>
      </c>
      <c r="B13" s="41" t="s">
        <v>156</v>
      </c>
    </row>
    <row r="14" spans="1:6" ht="28.5">
      <c r="A14" s="40" t="s">
        <v>157</v>
      </c>
      <c r="B14" s="41" t="s">
        <v>158</v>
      </c>
    </row>
    <row r="15" spans="1:6" ht="57">
      <c r="A15" s="40" t="s">
        <v>92</v>
      </c>
      <c r="B15" s="41" t="s">
        <v>159</v>
      </c>
    </row>
    <row r="16" spans="1:6" ht="71.25">
      <c r="A16" s="40" t="s">
        <v>94</v>
      </c>
      <c r="B16" s="41" t="s">
        <v>160</v>
      </c>
    </row>
    <row r="18" spans="1:6" ht="21.95" customHeight="1">
      <c r="A18" s="5" t="s">
        <v>161</v>
      </c>
      <c r="B18" s="5"/>
      <c r="C18" s="5"/>
      <c r="D18" s="5"/>
      <c r="E18" s="5"/>
      <c r="F18" s="5"/>
    </row>
    <row r="19" spans="1:6" ht="42.75">
      <c r="A19" s="40" t="s">
        <v>72</v>
      </c>
      <c r="B19" s="41" t="s">
        <v>71</v>
      </c>
      <c r="C19" s="41" t="s">
        <v>73</v>
      </c>
    </row>
    <row r="20" spans="1:6" ht="71.25">
      <c r="A20" s="40" t="s">
        <v>75</v>
      </c>
      <c r="B20" s="41" t="s">
        <v>74</v>
      </c>
      <c r="C20" s="41" t="s">
        <v>162</v>
      </c>
    </row>
    <row r="21" spans="1:6" ht="42.75">
      <c r="A21" s="40" t="s">
        <v>78</v>
      </c>
      <c r="B21" s="41" t="s">
        <v>77</v>
      </c>
      <c r="C21" s="41" t="s">
        <v>163</v>
      </c>
    </row>
    <row r="23" spans="1:6" ht="21.95" customHeight="1">
      <c r="A23" s="5" t="s">
        <v>164</v>
      </c>
      <c r="B23" s="5"/>
      <c r="C23" s="5"/>
      <c r="D23" s="5"/>
      <c r="E23" s="5"/>
      <c r="F23" s="5"/>
    </row>
    <row r="24" spans="1:6" ht="24" customHeight="1">
      <c r="A24" s="39" t="s">
        <v>165</v>
      </c>
      <c r="B24" s="39"/>
      <c r="C24" s="39"/>
      <c r="D24" s="39"/>
      <c r="E24" s="39"/>
      <c r="F24" s="39"/>
    </row>
    <row r="25" spans="1:6" ht="24" customHeight="1">
      <c r="A25" s="39"/>
      <c r="B25" s="39"/>
      <c r="C25" s="39"/>
      <c r="D25" s="39"/>
      <c r="E25" s="39"/>
      <c r="F25" s="39"/>
    </row>
    <row r="26" spans="1:6" ht="24" customHeight="1">
      <c r="A26" s="39"/>
      <c r="B26" s="39"/>
      <c r="C26" s="39"/>
      <c r="D26" s="39"/>
      <c r="E26" s="39"/>
      <c r="F26" s="39"/>
    </row>
    <row r="27" spans="1:6" ht="24" customHeight="1">
      <c r="A27" s="39"/>
      <c r="B27" s="39"/>
      <c r="C27" s="39"/>
      <c r="D27" s="39"/>
      <c r="E27" s="39"/>
      <c r="F27" s="39"/>
    </row>
  </sheetData>
  <mergeCells count="7">
    <mergeCell ref="A24:F27"/>
    <mergeCell ref="A1:F2"/>
    <mergeCell ref="A4:F4"/>
    <mergeCell ref="A5:F8"/>
    <mergeCell ref="A10:F10"/>
    <mergeCell ref="A18:F18"/>
    <mergeCell ref="A23:F23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ダッシュボード</vt:lpstr>
      <vt:lpstr>パラメータ</vt:lpstr>
      <vt:lpstr>ステージ曲線</vt:lpstr>
      <vt:lpstr>強化一覧</vt:lpstr>
      <vt:lpstr>説明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S</dc:creator>
  <cp:lastModifiedBy>R S</cp:lastModifiedBy>
  <dcterms:created xsi:type="dcterms:W3CDTF">2015-06-05T18:19:34Z</dcterms:created>
  <dcterms:modified xsi:type="dcterms:W3CDTF">2026-07-16T00:59:29Z</dcterms:modified>
</cp:coreProperties>
</file>